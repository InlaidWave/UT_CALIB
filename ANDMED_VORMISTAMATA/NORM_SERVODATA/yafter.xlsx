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V2 - manual_method_comprasion\NORM_SERVODATA\"/>
    </mc:Choice>
  </mc:AlternateContent>
  <xr:revisionPtr revIDLastSave="0" documentId="13_ncr:9_{E3D8BA3D-FB65-4AFC-A1BA-1BFED5B419F5}" xr6:coauthVersionLast="47" xr6:coauthVersionMax="47" xr10:uidLastSave="{00000000-0000-0000-0000-000000000000}"/>
  <bookViews>
    <workbookView xWindow="3765" yWindow="2685" windowWidth="28755" windowHeight="15435" xr2:uid="{05984BAA-A21F-433C-8267-190F816C9A55}"/>
  </bookViews>
  <sheets>
    <sheet name="yafter" sheetId="1" r:id="rId1"/>
  </sheets>
  <calcPr calcId="0"/>
</workbook>
</file>

<file path=xl/calcChain.xml><?xml version="1.0" encoding="utf-8"?>
<calcChain xmlns="http://schemas.openxmlformats.org/spreadsheetml/2006/main">
  <c r="R53" i="1" l="1"/>
  <c r="S53" i="1"/>
  <c r="T53" i="1"/>
  <c r="U53" i="1"/>
  <c r="Q53" i="1"/>
  <c r="Q3" i="1"/>
  <c r="R3" i="1"/>
  <c r="S3" i="1"/>
  <c r="T3" i="1"/>
  <c r="U3" i="1"/>
  <c r="Q4" i="1"/>
  <c r="R4" i="1"/>
  <c r="S4" i="1"/>
  <c r="T4" i="1"/>
  <c r="U4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U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<sst xmlns="http://schemas.openxmlformats.org/spreadsheetml/2006/main" count="16" uniqueCount="15">
  <si>
    <t>order_idx</t>
  </si>
  <si>
    <t>run_idx</t>
  </si>
  <si>
    <t>set_id</t>
  </si>
  <si>
    <t>start_ts_us</t>
  </si>
  <si>
    <t>end_ts_us</t>
  </si>
  <si>
    <t>duration_s</t>
  </si>
  <si>
    <t>V_cmd</t>
  </si>
  <si>
    <t>avg_speed_used</t>
  </si>
  <si>
    <t>commanded_angle_est_deg</t>
  </si>
  <si>
    <t>final_ang_x_deg</t>
  </si>
  <si>
    <t>final_ang_y_deg</t>
  </si>
  <si>
    <t>final_ang_z_deg</t>
  </si>
  <si>
    <t>total_ang_disp_deg</t>
  </si>
  <si>
    <t>N_samples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</si>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</sst>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B780-EF28-4594-B670-DF017BE68661}">
  <dimension ref="A1:U53"/>
  <sheetViews>
    <sheetView tabSelected="1" topLeftCell="A19" workbookViewId="0">
      <selection activeCell="V51" sqref="V5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25">
      <c r="A2">
        <v>1</v>
      </c>
      <c r="B2">
        <v>1</v>
      </c>
      <c r="C2">
        <v>1</v>
      </c>
      <c r="D2">
        <v>13378922</v>
      </c>
      <c r="E2">
        <v>31378028</v>
      </c>
      <c r="F2">
        <v>17.999106000000001</v>
      </c>
      <c r="G2">
        <v>10</v>
      </c>
      <c r="H2" t="s">
        <v>14</v>
      </c>
      <c r="I2" t="s">
        <v>14</v>
      </c>
      <c r="J2">
        <v>-43.05471137</v>
      </c>
      <c r="K2">
        <v>-185.51281850000001</v>
      </c>
      <c r="L2">
        <v>-9.9817323249999994</v>
      </c>
      <c r="M2">
        <v>191.29201749999999</v>
      </c>
      <c r="N2">
        <v>1261</v>
      </c>
      <c r="Q2" t="str">
        <f>IF($G2=30, $M2, "x")</f>
        <v>x</v>
      </c>
      <c r="R2" t="str">
        <f>IF($G2=40, $M2, "x")</f>
        <v>x</v>
      </c>
      <c r="S2" t="str">
        <f>IF($G2=50, $M2, "x")</f>
        <v>x</v>
      </c>
      <c r="T2" t="str">
        <f>IF($G2=60, $M2, "x")</f>
        <v>x</v>
      </c>
      <c r="U2" t="str">
        <f>IF($G2=70, $M2, "x")</f>
        <v>x</v>
      </c>
    </row>
    <row r="3" spans="1:21" x14ac:dyDescent="0.25">
      <c r="A3">
        <v>2</v>
      </c>
      <c r="B3">
        <v>2</v>
      </c>
      <c r="C3">
        <v>1</v>
      </c>
      <c r="D3">
        <v>34077917</v>
      </c>
      <c r="E3">
        <v>43077475</v>
      </c>
      <c r="F3">
        <v>8.9995580000000004</v>
      </c>
      <c r="G3">
        <v>20</v>
      </c>
      <c r="H3">
        <v>15</v>
      </c>
      <c r="I3">
        <v>134.99337</v>
      </c>
      <c r="J3">
        <v>-19.38929027</v>
      </c>
      <c r="K3">
        <v>-184.29734479999999</v>
      </c>
      <c r="L3">
        <v>-5.9476276629999996</v>
      </c>
      <c r="M3">
        <v>185.73336309999999</v>
      </c>
      <c r="N3">
        <v>631</v>
      </c>
      <c r="Q3" t="str">
        <f t="shared" ref="Q3:Q51" si="0">IF($G3=30, $M3, "x")</f>
        <v>x</v>
      </c>
      <c r="R3" t="str">
        <f t="shared" ref="R3:R51" si="1">IF($G3=40, $M3, "x")</f>
        <v>x</v>
      </c>
      <c r="S3" t="str">
        <f t="shared" ref="S3:S51" si="2">IF($G3=50, $M3, "x")</f>
        <v>x</v>
      </c>
      <c r="T3" t="str">
        <f t="shared" ref="T3:T51" si="3">IF($G3=60, $M3, "x")</f>
        <v>x</v>
      </c>
      <c r="U3" t="str">
        <f t="shared" ref="U3:U51" si="4">IF($G3=70, $M3, "x")</f>
        <v>x</v>
      </c>
    </row>
    <row r="4" spans="1:21" x14ac:dyDescent="0.25">
      <c r="A4">
        <v>3</v>
      </c>
      <c r="B4">
        <v>3</v>
      </c>
      <c r="C4">
        <v>1</v>
      </c>
      <c r="D4">
        <v>45777333</v>
      </c>
      <c r="E4">
        <v>51777045</v>
      </c>
      <c r="F4">
        <v>5.9997119999999997</v>
      </c>
      <c r="G4">
        <v>30</v>
      </c>
      <c r="H4">
        <v>25</v>
      </c>
      <c r="I4">
        <v>149.99279999999999</v>
      </c>
      <c r="J4">
        <v>-11.65116407</v>
      </c>
      <c r="K4">
        <v>-182.82839000000001</v>
      </c>
      <c r="L4">
        <v>-4.3407384059999998</v>
      </c>
      <c r="M4">
        <v>183.39567389999999</v>
      </c>
      <c r="N4">
        <v>421</v>
      </c>
      <c r="Q4">
        <f t="shared" si="0"/>
        <v>183.39567389999999</v>
      </c>
      <c r="R4" t="str">
        <f t="shared" si="1"/>
        <v>x</v>
      </c>
      <c r="S4" t="str">
        <f t="shared" si="2"/>
        <v>x</v>
      </c>
      <c r="T4" t="str">
        <f t="shared" si="3"/>
        <v>x</v>
      </c>
      <c r="U4" t="str">
        <f t="shared" si="4"/>
        <v>x</v>
      </c>
    </row>
    <row r="5" spans="1:21" x14ac:dyDescent="0.25">
      <c r="A5">
        <v>4</v>
      </c>
      <c r="B5">
        <v>4</v>
      </c>
      <c r="C5">
        <v>1</v>
      </c>
      <c r="D5">
        <v>54476872</v>
      </c>
      <c r="E5">
        <v>58962370</v>
      </c>
      <c r="F5">
        <v>4.4854979999999998</v>
      </c>
      <c r="G5">
        <v>40</v>
      </c>
      <c r="H5">
        <v>35</v>
      </c>
      <c r="I5">
        <v>156.99243000000001</v>
      </c>
      <c r="J5">
        <v>-7.6765227090000003</v>
      </c>
      <c r="K5">
        <v>-181.04927280000001</v>
      </c>
      <c r="L5">
        <v>-3.6581342559999999</v>
      </c>
      <c r="M5">
        <v>181.34262440000001</v>
      </c>
      <c r="N5">
        <v>315</v>
      </c>
      <c r="Q5" t="str">
        <f t="shared" si="0"/>
        <v>x</v>
      </c>
      <c r="R5">
        <f t="shared" si="1"/>
        <v>181.34262440000001</v>
      </c>
      <c r="S5" t="str">
        <f t="shared" si="2"/>
        <v>x</v>
      </c>
      <c r="T5" t="str">
        <f t="shared" si="3"/>
        <v>x</v>
      </c>
      <c r="U5" t="str">
        <f t="shared" si="4"/>
        <v>x</v>
      </c>
    </row>
    <row r="6" spans="1:21" x14ac:dyDescent="0.25">
      <c r="A6">
        <v>5</v>
      </c>
      <c r="B6">
        <v>5</v>
      </c>
      <c r="C6">
        <v>1</v>
      </c>
      <c r="D6">
        <v>61662214</v>
      </c>
      <c r="E6">
        <v>65247766</v>
      </c>
      <c r="F6">
        <v>3.5855519999999999</v>
      </c>
      <c r="G6">
        <v>50</v>
      </c>
      <c r="H6">
        <v>45</v>
      </c>
      <c r="I6">
        <v>161.34984</v>
      </c>
      <c r="J6">
        <v>-5.2827021170000004</v>
      </c>
      <c r="K6">
        <v>-180.72322679999999</v>
      </c>
      <c r="L6">
        <v>-3.1441460480000001</v>
      </c>
      <c r="M6">
        <v>180.91970610000001</v>
      </c>
      <c r="N6">
        <v>252</v>
      </c>
      <c r="Q6" t="str">
        <f t="shared" si="0"/>
        <v>x</v>
      </c>
      <c r="R6" t="str">
        <f t="shared" si="1"/>
        <v>x</v>
      </c>
      <c r="S6">
        <f t="shared" si="2"/>
        <v>180.91970610000001</v>
      </c>
      <c r="T6" t="str">
        <f t="shared" si="3"/>
        <v>x</v>
      </c>
      <c r="U6" t="str">
        <f t="shared" si="4"/>
        <v>x</v>
      </c>
    </row>
    <row r="7" spans="1:21" x14ac:dyDescent="0.25">
      <c r="A7">
        <v>6</v>
      </c>
      <c r="B7">
        <v>6</v>
      </c>
      <c r="C7">
        <v>1</v>
      </c>
      <c r="D7">
        <v>67947623</v>
      </c>
      <c r="E7">
        <v>70933188</v>
      </c>
      <c r="F7">
        <v>2.9855649999999998</v>
      </c>
      <c r="G7">
        <v>60</v>
      </c>
      <c r="H7">
        <v>55</v>
      </c>
      <c r="I7">
        <v>164.206075</v>
      </c>
      <c r="J7">
        <v>-3.7890615269999999</v>
      </c>
      <c r="K7">
        <v>-179.16078669999999</v>
      </c>
      <c r="L7">
        <v>-2.8544300460000001</v>
      </c>
      <c r="M7">
        <v>179.3166569</v>
      </c>
      <c r="N7">
        <v>210</v>
      </c>
      <c r="Q7" t="str">
        <f t="shared" si="0"/>
        <v>x</v>
      </c>
      <c r="R7" t="str">
        <f t="shared" si="1"/>
        <v>x</v>
      </c>
      <c r="S7" t="str">
        <f t="shared" si="2"/>
        <v>x</v>
      </c>
      <c r="T7">
        <f t="shared" si="3"/>
        <v>179.3166569</v>
      </c>
      <c r="U7" t="str">
        <f t="shared" si="4"/>
        <v>x</v>
      </c>
    </row>
    <row r="8" spans="1:21" x14ac:dyDescent="0.25">
      <c r="A8">
        <v>7</v>
      </c>
      <c r="B8">
        <v>7</v>
      </c>
      <c r="C8">
        <v>1</v>
      </c>
      <c r="D8">
        <v>73633053</v>
      </c>
      <c r="E8">
        <v>76190092</v>
      </c>
      <c r="F8">
        <v>2.5570390000000001</v>
      </c>
      <c r="G8">
        <v>70</v>
      </c>
      <c r="H8">
        <v>65</v>
      </c>
      <c r="I8">
        <v>166.20753500000001</v>
      </c>
      <c r="J8">
        <v>-2.7471001130000001</v>
      </c>
      <c r="K8">
        <v>-177.715036</v>
      </c>
      <c r="L8">
        <v>-2.704797965</v>
      </c>
      <c r="M8">
        <v>177.8388262</v>
      </c>
      <c r="N8">
        <v>180</v>
      </c>
      <c r="Q8" t="str">
        <f t="shared" si="0"/>
        <v>x</v>
      </c>
      <c r="R8" t="str">
        <f t="shared" si="1"/>
        <v>x</v>
      </c>
      <c r="S8" t="str">
        <f t="shared" si="2"/>
        <v>x</v>
      </c>
      <c r="T8" t="str">
        <f t="shared" si="3"/>
        <v>x</v>
      </c>
      <c r="U8">
        <f t="shared" si="4"/>
        <v>177.8388262</v>
      </c>
    </row>
    <row r="9" spans="1:21" x14ac:dyDescent="0.25">
      <c r="A9">
        <v>8</v>
      </c>
      <c r="B9">
        <v>8</v>
      </c>
      <c r="C9">
        <v>1</v>
      </c>
      <c r="D9">
        <v>78889955</v>
      </c>
      <c r="E9">
        <v>81132711</v>
      </c>
      <c r="F9">
        <v>2.242756</v>
      </c>
      <c r="G9">
        <v>80</v>
      </c>
      <c r="H9">
        <v>75</v>
      </c>
      <c r="I9">
        <v>168.20670000000001</v>
      </c>
      <c r="J9">
        <v>-1.9802084019999999</v>
      </c>
      <c r="K9">
        <v>-177.59611219999999</v>
      </c>
      <c r="L9">
        <v>-2.4286452879999998</v>
      </c>
      <c r="M9">
        <v>177.6990686</v>
      </c>
      <c r="N9">
        <v>158</v>
      </c>
      <c r="Q9" t="str">
        <f t="shared" si="0"/>
        <v>x</v>
      </c>
      <c r="R9" t="str">
        <f t="shared" si="1"/>
        <v>x</v>
      </c>
      <c r="S9" t="str">
        <f t="shared" si="2"/>
        <v>x</v>
      </c>
      <c r="T9" t="str">
        <f t="shared" si="3"/>
        <v>x</v>
      </c>
      <c r="U9" t="str">
        <f t="shared" si="4"/>
        <v>x</v>
      </c>
    </row>
    <row r="10" spans="1:21" x14ac:dyDescent="0.25">
      <c r="A10">
        <v>9</v>
      </c>
      <c r="B10">
        <v>9</v>
      </c>
      <c r="C10">
        <v>1</v>
      </c>
      <c r="D10">
        <v>83832568</v>
      </c>
      <c r="E10">
        <v>85832451</v>
      </c>
      <c r="F10">
        <v>1.9998830000000001</v>
      </c>
      <c r="G10">
        <v>90</v>
      </c>
      <c r="H10">
        <v>85</v>
      </c>
      <c r="I10">
        <v>169.99005500000001</v>
      </c>
      <c r="J10">
        <v>-1.2899994349999999</v>
      </c>
      <c r="K10">
        <v>-176.9278133</v>
      </c>
      <c r="L10">
        <v>-2.2918201150000002</v>
      </c>
      <c r="M10">
        <v>177.0244745</v>
      </c>
      <c r="N10">
        <v>141</v>
      </c>
      <c r="Q10" t="str">
        <f t="shared" si="0"/>
        <v>x</v>
      </c>
      <c r="R10" t="str">
        <f t="shared" si="1"/>
        <v>x</v>
      </c>
      <c r="S10" t="str">
        <f t="shared" si="2"/>
        <v>x</v>
      </c>
      <c r="T10" t="str">
        <f t="shared" si="3"/>
        <v>x</v>
      </c>
      <c r="U10" t="str">
        <f t="shared" si="4"/>
        <v>x</v>
      </c>
    </row>
    <row r="11" spans="1:21" x14ac:dyDescent="0.25">
      <c r="A11">
        <v>10</v>
      </c>
      <c r="B11">
        <v>10</v>
      </c>
      <c r="C11">
        <v>1</v>
      </c>
      <c r="D11">
        <v>88532314</v>
      </c>
      <c r="E11">
        <v>90332239</v>
      </c>
      <c r="F11">
        <v>1.799925</v>
      </c>
      <c r="G11">
        <v>100</v>
      </c>
      <c r="H11">
        <v>95</v>
      </c>
      <c r="I11">
        <v>170.992875</v>
      </c>
      <c r="J11">
        <v>-0.82059983000000003</v>
      </c>
      <c r="K11">
        <v>-175.6617612</v>
      </c>
      <c r="L11">
        <v>-2.2105777510000002</v>
      </c>
      <c r="M11">
        <v>175.75702759999999</v>
      </c>
      <c r="N11">
        <v>127</v>
      </c>
      <c r="Q11" t="str">
        <f t="shared" si="0"/>
        <v>x</v>
      </c>
      <c r="R11" t="str">
        <f t="shared" si="1"/>
        <v>x</v>
      </c>
      <c r="S11" t="str">
        <f t="shared" si="2"/>
        <v>x</v>
      </c>
      <c r="T11" t="str">
        <f t="shared" si="3"/>
        <v>x</v>
      </c>
      <c r="U11" t="str">
        <f t="shared" si="4"/>
        <v>x</v>
      </c>
    </row>
    <row r="12" spans="1:21" x14ac:dyDescent="0.25">
      <c r="A12">
        <v>11</v>
      </c>
      <c r="B12">
        <v>1</v>
      </c>
      <c r="C12">
        <v>2</v>
      </c>
      <c r="D12">
        <v>93032101</v>
      </c>
      <c r="E12">
        <v>111031208</v>
      </c>
      <c r="F12">
        <v>17.999106999999999</v>
      </c>
      <c r="G12">
        <v>10</v>
      </c>
      <c r="H12">
        <v>55</v>
      </c>
      <c r="I12">
        <v>989.95088499999997</v>
      </c>
      <c r="J12">
        <v>-42.19965535</v>
      </c>
      <c r="K12">
        <v>-185.01658180000001</v>
      </c>
      <c r="L12">
        <v>-9.9046832640000009</v>
      </c>
      <c r="M12">
        <v>190.5251308</v>
      </c>
      <c r="N12">
        <v>1261</v>
      </c>
      <c r="Q12" t="str">
        <f t="shared" si="0"/>
        <v>x</v>
      </c>
      <c r="R12" t="str">
        <f t="shared" si="1"/>
        <v>x</v>
      </c>
      <c r="S12" t="str">
        <f t="shared" si="2"/>
        <v>x</v>
      </c>
      <c r="T12" t="str">
        <f t="shared" si="3"/>
        <v>x</v>
      </c>
      <c r="U12" t="str">
        <f t="shared" si="4"/>
        <v>x</v>
      </c>
    </row>
    <row r="13" spans="1:21" x14ac:dyDescent="0.25">
      <c r="A13">
        <v>12</v>
      </c>
      <c r="B13">
        <v>2</v>
      </c>
      <c r="C13">
        <v>2</v>
      </c>
      <c r="D13">
        <v>113731053</v>
      </c>
      <c r="E13">
        <v>122730596</v>
      </c>
      <c r="F13">
        <v>8.9995429999999992</v>
      </c>
      <c r="G13">
        <v>20</v>
      </c>
      <c r="H13">
        <v>15</v>
      </c>
      <c r="I13">
        <v>134.993145</v>
      </c>
      <c r="J13">
        <v>-19.284724839999999</v>
      </c>
      <c r="K13">
        <v>-183.86923580000001</v>
      </c>
      <c r="L13">
        <v>-5.909849382</v>
      </c>
      <c r="M13">
        <v>185.36441490000001</v>
      </c>
      <c r="N13">
        <v>631</v>
      </c>
      <c r="Q13" t="str">
        <f t="shared" si="0"/>
        <v>x</v>
      </c>
      <c r="R13" t="str">
        <f t="shared" si="1"/>
        <v>x</v>
      </c>
      <c r="S13" t="str">
        <f t="shared" si="2"/>
        <v>x</v>
      </c>
      <c r="T13" t="str">
        <f t="shared" si="3"/>
        <v>x</v>
      </c>
      <c r="U13" t="str">
        <f t="shared" si="4"/>
        <v>x</v>
      </c>
    </row>
    <row r="14" spans="1:21" x14ac:dyDescent="0.25">
      <c r="A14">
        <v>13</v>
      </c>
      <c r="B14">
        <v>3</v>
      </c>
      <c r="C14">
        <v>2</v>
      </c>
      <c r="D14">
        <v>125430474</v>
      </c>
      <c r="E14">
        <v>131430158</v>
      </c>
      <c r="F14">
        <v>5.9996840000000002</v>
      </c>
      <c r="G14">
        <v>30</v>
      </c>
      <c r="H14">
        <v>25</v>
      </c>
      <c r="I14">
        <v>149.99209999999999</v>
      </c>
      <c r="J14">
        <v>-11.583839149999999</v>
      </c>
      <c r="K14">
        <v>-182.74318529999999</v>
      </c>
      <c r="L14">
        <v>-4.3880013010000001</v>
      </c>
      <c r="M14">
        <v>183.29517680000001</v>
      </c>
      <c r="N14">
        <v>421</v>
      </c>
      <c r="Q14">
        <f t="shared" si="0"/>
        <v>183.29517680000001</v>
      </c>
      <c r="R14" t="str">
        <f t="shared" si="1"/>
        <v>x</v>
      </c>
      <c r="S14" t="str">
        <f t="shared" si="2"/>
        <v>x</v>
      </c>
      <c r="T14" t="str">
        <f t="shared" si="3"/>
        <v>x</v>
      </c>
      <c r="U14" t="str">
        <f t="shared" si="4"/>
        <v>x</v>
      </c>
    </row>
    <row r="15" spans="1:21" x14ac:dyDescent="0.25">
      <c r="A15">
        <v>14</v>
      </c>
      <c r="B15">
        <v>4</v>
      </c>
      <c r="C15">
        <v>2</v>
      </c>
      <c r="D15">
        <v>134130026</v>
      </c>
      <c r="E15">
        <v>138615515</v>
      </c>
      <c r="F15">
        <v>4.4854890000000003</v>
      </c>
      <c r="G15">
        <v>40</v>
      </c>
      <c r="H15">
        <v>35</v>
      </c>
      <c r="I15">
        <v>156.99211500000001</v>
      </c>
      <c r="J15">
        <v>-7.5240532849999999</v>
      </c>
      <c r="K15">
        <v>-181.2352487</v>
      </c>
      <c r="L15">
        <v>-3.5808654459999998</v>
      </c>
      <c r="M15">
        <v>181.52595919999999</v>
      </c>
      <c r="N15">
        <v>315</v>
      </c>
      <c r="Q15" t="str">
        <f t="shared" si="0"/>
        <v>x</v>
      </c>
      <c r="R15">
        <f t="shared" si="1"/>
        <v>181.52595919999999</v>
      </c>
      <c r="S15" t="str">
        <f t="shared" si="2"/>
        <v>x</v>
      </c>
      <c r="T15" t="str">
        <f t="shared" si="3"/>
        <v>x</v>
      </c>
      <c r="U15" t="str">
        <f t="shared" si="4"/>
        <v>x</v>
      </c>
    </row>
    <row r="16" spans="1:21" x14ac:dyDescent="0.25">
      <c r="A16">
        <v>15</v>
      </c>
      <c r="B16">
        <v>5</v>
      </c>
      <c r="C16">
        <v>2</v>
      </c>
      <c r="D16">
        <v>141315415</v>
      </c>
      <c r="E16">
        <v>144900936</v>
      </c>
      <c r="F16">
        <v>3.585521</v>
      </c>
      <c r="G16">
        <v>50</v>
      </c>
      <c r="H16">
        <v>45</v>
      </c>
      <c r="I16">
        <v>161.348445</v>
      </c>
      <c r="J16">
        <v>-5.3758088270000002</v>
      </c>
      <c r="K16">
        <v>-180.2606232</v>
      </c>
      <c r="L16">
        <v>-3.21320557</v>
      </c>
      <c r="M16">
        <v>180.44623569999999</v>
      </c>
      <c r="N16">
        <v>252</v>
      </c>
      <c r="Q16" t="str">
        <f t="shared" si="0"/>
        <v>x</v>
      </c>
      <c r="R16" t="str">
        <f t="shared" si="1"/>
        <v>x</v>
      </c>
      <c r="S16">
        <f t="shared" si="2"/>
        <v>180.44623569999999</v>
      </c>
      <c r="T16" t="str">
        <f t="shared" si="3"/>
        <v>x</v>
      </c>
      <c r="U16" t="str">
        <f t="shared" si="4"/>
        <v>x</v>
      </c>
    </row>
    <row r="17" spans="1:21" x14ac:dyDescent="0.25">
      <c r="A17">
        <v>16</v>
      </c>
      <c r="B17">
        <v>6</v>
      </c>
      <c r="C17">
        <v>2</v>
      </c>
      <c r="D17">
        <v>147600812</v>
      </c>
      <c r="E17">
        <v>150586363</v>
      </c>
      <c r="F17">
        <v>2.9855510000000001</v>
      </c>
      <c r="G17">
        <v>60</v>
      </c>
      <c r="H17">
        <v>55</v>
      </c>
      <c r="I17">
        <v>164.20530500000001</v>
      </c>
      <c r="J17">
        <v>-3.9360453080000002</v>
      </c>
      <c r="K17">
        <v>-179.12286209999999</v>
      </c>
      <c r="L17">
        <v>-2.905707434</v>
      </c>
      <c r="M17">
        <v>179.27737099999999</v>
      </c>
      <c r="N17">
        <v>210</v>
      </c>
      <c r="Q17" t="str">
        <f t="shared" si="0"/>
        <v>x</v>
      </c>
      <c r="R17" t="str">
        <f t="shared" si="1"/>
        <v>x</v>
      </c>
      <c r="S17" t="str">
        <f t="shared" si="2"/>
        <v>x</v>
      </c>
      <c r="T17">
        <f t="shared" si="3"/>
        <v>179.27737099999999</v>
      </c>
      <c r="U17" t="str">
        <f t="shared" si="4"/>
        <v>x</v>
      </c>
    </row>
    <row r="18" spans="1:21" x14ac:dyDescent="0.25">
      <c r="A18">
        <v>17</v>
      </c>
      <c r="B18">
        <v>7</v>
      </c>
      <c r="C18">
        <v>2</v>
      </c>
      <c r="D18">
        <v>153286214</v>
      </c>
      <c r="E18">
        <v>155843219</v>
      </c>
      <c r="F18">
        <v>2.5570050000000002</v>
      </c>
      <c r="G18">
        <v>70</v>
      </c>
      <c r="H18">
        <v>65</v>
      </c>
      <c r="I18">
        <v>166.20532499999999</v>
      </c>
      <c r="J18">
        <v>-2.7592545890000002</v>
      </c>
      <c r="K18">
        <v>-177.61604449999999</v>
      </c>
      <c r="L18">
        <v>-2.5395033329999999</v>
      </c>
      <c r="M18">
        <v>177.74967419999999</v>
      </c>
      <c r="N18">
        <v>180</v>
      </c>
      <c r="Q18" t="str">
        <f t="shared" si="0"/>
        <v>x</v>
      </c>
      <c r="R18" t="str">
        <f t="shared" si="1"/>
        <v>x</v>
      </c>
      <c r="S18" t="str">
        <f t="shared" si="2"/>
        <v>x</v>
      </c>
      <c r="T18" t="str">
        <f t="shared" si="3"/>
        <v>x</v>
      </c>
      <c r="U18">
        <f t="shared" si="4"/>
        <v>177.74967419999999</v>
      </c>
    </row>
    <row r="19" spans="1:21" x14ac:dyDescent="0.25">
      <c r="A19">
        <v>18</v>
      </c>
      <c r="B19">
        <v>8</v>
      </c>
      <c r="C19">
        <v>2</v>
      </c>
      <c r="D19">
        <v>158543107</v>
      </c>
      <c r="E19">
        <v>160785827</v>
      </c>
      <c r="F19">
        <v>2.2427199999999998</v>
      </c>
      <c r="G19">
        <v>80</v>
      </c>
      <c r="H19">
        <v>75</v>
      </c>
      <c r="I19">
        <v>168.20400000000001</v>
      </c>
      <c r="J19">
        <v>-1.6212388499999999</v>
      </c>
      <c r="K19">
        <v>-177.05264020000001</v>
      </c>
      <c r="L19">
        <v>-2.4612952429999999</v>
      </c>
      <c r="M19">
        <v>177.1692615</v>
      </c>
      <c r="N19">
        <v>158</v>
      </c>
      <c r="Q19" t="str">
        <f t="shared" si="0"/>
        <v>x</v>
      </c>
      <c r="R19" t="str">
        <f t="shared" si="1"/>
        <v>x</v>
      </c>
      <c r="S19" t="str">
        <f t="shared" si="2"/>
        <v>x</v>
      </c>
      <c r="T19" t="str">
        <f t="shared" si="3"/>
        <v>x</v>
      </c>
      <c r="U19" t="str">
        <f t="shared" si="4"/>
        <v>x</v>
      </c>
    </row>
    <row r="20" spans="1:21" x14ac:dyDescent="0.25">
      <c r="A20">
        <v>19</v>
      </c>
      <c r="B20">
        <v>9</v>
      </c>
      <c r="C20">
        <v>2</v>
      </c>
      <c r="D20">
        <v>163485725</v>
      </c>
      <c r="E20">
        <v>165485636</v>
      </c>
      <c r="F20">
        <v>1.999911</v>
      </c>
      <c r="G20">
        <v>90</v>
      </c>
      <c r="H20">
        <v>85</v>
      </c>
      <c r="I20">
        <v>169.992435</v>
      </c>
      <c r="J20">
        <v>-1.1015769989999999</v>
      </c>
      <c r="K20">
        <v>-176.51007519999999</v>
      </c>
      <c r="L20">
        <v>-2.3285280820000001</v>
      </c>
      <c r="M20">
        <v>176.62266819999999</v>
      </c>
      <c r="N20">
        <v>141</v>
      </c>
      <c r="Q20" t="str">
        <f t="shared" si="0"/>
        <v>x</v>
      </c>
      <c r="R20" t="str">
        <f t="shared" si="1"/>
        <v>x</v>
      </c>
      <c r="S20" t="str">
        <f t="shared" si="2"/>
        <v>x</v>
      </c>
      <c r="T20" t="str">
        <f t="shared" si="3"/>
        <v>x</v>
      </c>
      <c r="U20" t="str">
        <f t="shared" si="4"/>
        <v>x</v>
      </c>
    </row>
    <row r="21" spans="1:21" x14ac:dyDescent="0.25">
      <c r="A21">
        <v>20</v>
      </c>
      <c r="B21">
        <v>10</v>
      </c>
      <c r="C21">
        <v>2</v>
      </c>
      <c r="D21">
        <v>168185474</v>
      </c>
      <c r="E21">
        <v>169985370</v>
      </c>
      <c r="F21">
        <v>1.7998959999999999</v>
      </c>
      <c r="G21">
        <v>100</v>
      </c>
      <c r="H21">
        <v>95</v>
      </c>
      <c r="I21">
        <v>170.99011999999999</v>
      </c>
      <c r="J21">
        <v>-0.69366387600000001</v>
      </c>
      <c r="K21">
        <v>-175.4168062</v>
      </c>
      <c r="L21">
        <v>-2.2138085429999999</v>
      </c>
      <c r="M21">
        <v>175.52407779999999</v>
      </c>
      <c r="N21">
        <v>127</v>
      </c>
      <c r="Q21" t="str">
        <f t="shared" si="0"/>
        <v>x</v>
      </c>
      <c r="R21" t="str">
        <f t="shared" si="1"/>
        <v>x</v>
      </c>
      <c r="S21" t="str">
        <f t="shared" si="2"/>
        <v>x</v>
      </c>
      <c r="T21" t="str">
        <f t="shared" si="3"/>
        <v>x</v>
      </c>
      <c r="U21" t="str">
        <f t="shared" si="4"/>
        <v>x</v>
      </c>
    </row>
    <row r="22" spans="1:21" x14ac:dyDescent="0.25">
      <c r="A22">
        <v>21</v>
      </c>
      <c r="B22">
        <v>1</v>
      </c>
      <c r="C22">
        <v>3</v>
      </c>
      <c r="D22">
        <v>172685272</v>
      </c>
      <c r="E22">
        <v>190684359</v>
      </c>
      <c r="F22">
        <v>17.999086999999999</v>
      </c>
      <c r="G22">
        <v>10</v>
      </c>
      <c r="H22">
        <v>55</v>
      </c>
      <c r="I22">
        <v>989.94978500000002</v>
      </c>
      <c r="J22">
        <v>-42.308314340000003</v>
      </c>
      <c r="K22">
        <v>-184.96002240000001</v>
      </c>
      <c r="L22">
        <v>-9.8385435720000007</v>
      </c>
      <c r="M22">
        <v>190.54440790000001</v>
      </c>
      <c r="N22">
        <v>1261</v>
      </c>
      <c r="Q22" t="str">
        <f t="shared" si="0"/>
        <v>x</v>
      </c>
      <c r="R22" t="str">
        <f t="shared" si="1"/>
        <v>x</v>
      </c>
      <c r="S22" t="str">
        <f t="shared" si="2"/>
        <v>x</v>
      </c>
      <c r="T22" t="str">
        <f t="shared" si="3"/>
        <v>x</v>
      </c>
      <c r="U22" t="str">
        <f t="shared" si="4"/>
        <v>x</v>
      </c>
    </row>
    <row r="23" spans="1:21" x14ac:dyDescent="0.25">
      <c r="A23">
        <v>22</v>
      </c>
      <c r="B23">
        <v>2</v>
      </c>
      <c r="C23">
        <v>3</v>
      </c>
      <c r="D23">
        <v>193384201</v>
      </c>
      <c r="E23">
        <v>202383755</v>
      </c>
      <c r="F23">
        <v>8.9995539999999998</v>
      </c>
      <c r="G23">
        <v>20</v>
      </c>
      <c r="H23">
        <v>15</v>
      </c>
      <c r="I23">
        <v>134.99331000000001</v>
      </c>
      <c r="J23">
        <v>-19.390485630000001</v>
      </c>
      <c r="K23">
        <v>-183.76611890000001</v>
      </c>
      <c r="L23">
        <v>-5.6004942729999998</v>
      </c>
      <c r="M23">
        <v>185.16317570000001</v>
      </c>
      <c r="N23">
        <v>631</v>
      </c>
      <c r="Q23" t="str">
        <f t="shared" si="0"/>
        <v>x</v>
      </c>
      <c r="R23" t="str">
        <f t="shared" si="1"/>
        <v>x</v>
      </c>
      <c r="S23" t="str">
        <f t="shared" si="2"/>
        <v>x</v>
      </c>
      <c r="T23" t="str">
        <f t="shared" si="3"/>
        <v>x</v>
      </c>
      <c r="U23" t="str">
        <f t="shared" si="4"/>
        <v>x</v>
      </c>
    </row>
    <row r="24" spans="1:21" x14ac:dyDescent="0.25">
      <c r="A24">
        <v>23</v>
      </c>
      <c r="B24">
        <v>3</v>
      </c>
      <c r="C24">
        <v>3</v>
      </c>
      <c r="D24">
        <v>205083606</v>
      </c>
      <c r="E24">
        <v>211083313</v>
      </c>
      <c r="F24">
        <v>5.9997069999999999</v>
      </c>
      <c r="G24">
        <v>30</v>
      </c>
      <c r="H24">
        <v>25</v>
      </c>
      <c r="I24">
        <v>149.99267499999999</v>
      </c>
      <c r="J24">
        <v>-11.571285019999999</v>
      </c>
      <c r="K24">
        <v>-182.81905320000001</v>
      </c>
      <c r="L24">
        <v>-4.3128377479999997</v>
      </c>
      <c r="M24">
        <v>183.3541822</v>
      </c>
      <c r="N24">
        <v>421</v>
      </c>
      <c r="Q24">
        <f t="shared" si="0"/>
        <v>183.3541822</v>
      </c>
      <c r="R24" t="str">
        <f t="shared" si="1"/>
        <v>x</v>
      </c>
      <c r="S24" t="str">
        <f t="shared" si="2"/>
        <v>x</v>
      </c>
      <c r="T24" t="str">
        <f t="shared" si="3"/>
        <v>x</v>
      </c>
      <c r="U24" t="str">
        <f t="shared" si="4"/>
        <v>x</v>
      </c>
    </row>
    <row r="25" spans="1:21" x14ac:dyDescent="0.25">
      <c r="A25">
        <v>24</v>
      </c>
      <c r="B25">
        <v>4</v>
      </c>
      <c r="C25">
        <v>3</v>
      </c>
      <c r="D25">
        <v>213783220</v>
      </c>
      <c r="E25">
        <v>218268691</v>
      </c>
      <c r="F25">
        <v>4.4854710000000004</v>
      </c>
      <c r="G25">
        <v>40</v>
      </c>
      <c r="H25">
        <v>35</v>
      </c>
      <c r="I25">
        <v>156.99148500000001</v>
      </c>
      <c r="J25">
        <v>-7.5019260560000003</v>
      </c>
      <c r="K25">
        <v>-180.9583557</v>
      </c>
      <c r="L25">
        <v>-3.6725027680000002</v>
      </c>
      <c r="M25">
        <v>181.26214490000001</v>
      </c>
      <c r="N25">
        <v>315</v>
      </c>
      <c r="Q25" t="str">
        <f t="shared" si="0"/>
        <v>x</v>
      </c>
      <c r="R25">
        <f t="shared" si="1"/>
        <v>181.26214490000001</v>
      </c>
      <c r="S25" t="str">
        <f t="shared" si="2"/>
        <v>x</v>
      </c>
      <c r="T25" t="str">
        <f t="shared" si="3"/>
        <v>x</v>
      </c>
      <c r="U25" t="str">
        <f t="shared" si="4"/>
        <v>x</v>
      </c>
    </row>
    <row r="26" spans="1:21" x14ac:dyDescent="0.25">
      <c r="A26">
        <v>25</v>
      </c>
      <c r="B26">
        <v>5</v>
      </c>
      <c r="C26">
        <v>3</v>
      </c>
      <c r="D26">
        <v>220968574</v>
      </c>
      <c r="E26">
        <v>224554069</v>
      </c>
      <c r="F26">
        <v>3.5854949999999999</v>
      </c>
      <c r="G26">
        <v>50</v>
      </c>
      <c r="H26">
        <v>45</v>
      </c>
      <c r="I26">
        <v>161.347275</v>
      </c>
      <c r="J26">
        <v>-5.3845785360000002</v>
      </c>
      <c r="K26">
        <v>-180.2440119</v>
      </c>
      <c r="L26">
        <v>-3.1564754019999999</v>
      </c>
      <c r="M26">
        <v>180.4418819</v>
      </c>
      <c r="N26">
        <v>252</v>
      </c>
      <c r="Q26" t="str">
        <f t="shared" si="0"/>
        <v>x</v>
      </c>
      <c r="R26" t="str">
        <f t="shared" si="1"/>
        <v>x</v>
      </c>
      <c r="S26">
        <f t="shared" si="2"/>
        <v>180.4418819</v>
      </c>
      <c r="T26" t="str">
        <f t="shared" si="3"/>
        <v>x</v>
      </c>
      <c r="U26" t="str">
        <f t="shared" si="4"/>
        <v>x</v>
      </c>
    </row>
    <row r="27" spans="1:21" x14ac:dyDescent="0.25">
      <c r="A27">
        <v>26</v>
      </c>
      <c r="B27">
        <v>6</v>
      </c>
      <c r="C27">
        <v>3</v>
      </c>
      <c r="D27">
        <v>227253963</v>
      </c>
      <c r="E27">
        <v>230239533</v>
      </c>
      <c r="F27">
        <v>2.9855700000000001</v>
      </c>
      <c r="G27">
        <v>60</v>
      </c>
      <c r="H27">
        <v>55</v>
      </c>
      <c r="I27">
        <v>164.20634999999999</v>
      </c>
      <c r="J27">
        <v>-3.6048078530000001</v>
      </c>
      <c r="K27">
        <v>-178.7783584</v>
      </c>
      <c r="L27">
        <v>-2.909596493</v>
      </c>
      <c r="M27">
        <v>178.90127939999999</v>
      </c>
      <c r="N27">
        <v>210</v>
      </c>
      <c r="Q27" t="str">
        <f t="shared" si="0"/>
        <v>x</v>
      </c>
      <c r="R27" t="str">
        <f t="shared" si="1"/>
        <v>x</v>
      </c>
      <c r="S27" t="str">
        <f t="shared" si="2"/>
        <v>x</v>
      </c>
      <c r="T27">
        <f t="shared" si="3"/>
        <v>178.90127939999999</v>
      </c>
      <c r="U27" t="str">
        <f t="shared" si="4"/>
        <v>x</v>
      </c>
    </row>
    <row r="28" spans="1:21" x14ac:dyDescent="0.25">
      <c r="A28">
        <v>27</v>
      </c>
      <c r="B28">
        <v>7</v>
      </c>
      <c r="C28">
        <v>3</v>
      </c>
      <c r="D28">
        <v>232939370</v>
      </c>
      <c r="E28">
        <v>235496415</v>
      </c>
      <c r="F28">
        <v>2.557045</v>
      </c>
      <c r="G28">
        <v>70</v>
      </c>
      <c r="H28">
        <v>65</v>
      </c>
      <c r="I28">
        <v>166.20792499999999</v>
      </c>
      <c r="J28">
        <v>-2.8337483780000001</v>
      </c>
      <c r="K28">
        <v>-178.433255</v>
      </c>
      <c r="L28">
        <v>-2.432940087</v>
      </c>
      <c r="M28">
        <v>178.58646830000001</v>
      </c>
      <c r="N28">
        <v>180</v>
      </c>
      <c r="Q28" t="str">
        <f t="shared" si="0"/>
        <v>x</v>
      </c>
      <c r="R28" t="str">
        <f t="shared" si="1"/>
        <v>x</v>
      </c>
      <c r="S28" t="str">
        <f t="shared" si="2"/>
        <v>x</v>
      </c>
      <c r="T28" t="str">
        <f t="shared" si="3"/>
        <v>x</v>
      </c>
      <c r="U28">
        <f t="shared" si="4"/>
        <v>178.58646830000001</v>
      </c>
    </row>
    <row r="29" spans="1:21" x14ac:dyDescent="0.25">
      <c r="A29">
        <v>28</v>
      </c>
      <c r="B29">
        <v>8</v>
      </c>
      <c r="C29">
        <v>3</v>
      </c>
      <c r="D29">
        <v>238196260</v>
      </c>
      <c r="E29">
        <v>240439007</v>
      </c>
      <c r="F29">
        <v>2.242747</v>
      </c>
      <c r="G29">
        <v>80</v>
      </c>
      <c r="H29">
        <v>75</v>
      </c>
      <c r="I29">
        <v>168.20602500000001</v>
      </c>
      <c r="J29">
        <v>-1.9259104899999999</v>
      </c>
      <c r="K29">
        <v>-177.6459993</v>
      </c>
      <c r="L29">
        <v>-2.463386195</v>
      </c>
      <c r="M29">
        <v>177.73344739999999</v>
      </c>
      <c r="N29">
        <v>158</v>
      </c>
      <c r="Q29" t="str">
        <f t="shared" si="0"/>
        <v>x</v>
      </c>
      <c r="R29" t="str">
        <f t="shared" si="1"/>
        <v>x</v>
      </c>
      <c r="S29" t="str">
        <f t="shared" si="2"/>
        <v>x</v>
      </c>
      <c r="T29" t="str">
        <f t="shared" si="3"/>
        <v>x</v>
      </c>
      <c r="U29" t="str">
        <f t="shared" si="4"/>
        <v>x</v>
      </c>
    </row>
    <row r="30" spans="1:21" x14ac:dyDescent="0.25">
      <c r="A30">
        <v>29</v>
      </c>
      <c r="B30">
        <v>9</v>
      </c>
      <c r="C30">
        <v>3</v>
      </c>
      <c r="D30">
        <v>243138872</v>
      </c>
      <c r="E30">
        <v>245138792</v>
      </c>
      <c r="F30">
        <v>1.9999199999999999</v>
      </c>
      <c r="G30">
        <v>90</v>
      </c>
      <c r="H30">
        <v>85</v>
      </c>
      <c r="I30">
        <v>169.9932</v>
      </c>
      <c r="J30">
        <v>-1.2614889499999999</v>
      </c>
      <c r="K30">
        <v>-176.654169</v>
      </c>
      <c r="L30">
        <v>-2.3855907759999999</v>
      </c>
      <c r="M30">
        <v>176.79744840000001</v>
      </c>
      <c r="N30">
        <v>141</v>
      </c>
      <c r="Q30" t="str">
        <f t="shared" si="0"/>
        <v>x</v>
      </c>
      <c r="R30" t="str">
        <f t="shared" si="1"/>
        <v>x</v>
      </c>
      <c r="S30" t="str">
        <f t="shared" si="2"/>
        <v>x</v>
      </c>
      <c r="T30" t="str">
        <f t="shared" si="3"/>
        <v>x</v>
      </c>
      <c r="U30" t="str">
        <f t="shared" si="4"/>
        <v>x</v>
      </c>
    </row>
    <row r="31" spans="1:21" x14ac:dyDescent="0.25">
      <c r="A31">
        <v>30</v>
      </c>
      <c r="B31">
        <v>10</v>
      </c>
      <c r="C31">
        <v>3</v>
      </c>
      <c r="D31">
        <v>247838623</v>
      </c>
      <c r="E31">
        <v>249638574</v>
      </c>
      <c r="F31">
        <v>1.7999510000000001</v>
      </c>
      <c r="G31">
        <v>100</v>
      </c>
      <c r="H31">
        <v>95</v>
      </c>
      <c r="I31">
        <v>170.99534499999999</v>
      </c>
      <c r="J31">
        <v>-0.75047362100000004</v>
      </c>
      <c r="K31">
        <v>-175.27941730000001</v>
      </c>
      <c r="L31">
        <v>-2.2875936499999998</v>
      </c>
      <c r="M31">
        <v>175.41639559999999</v>
      </c>
      <c r="N31">
        <v>127</v>
      </c>
      <c r="Q31" t="str">
        <f t="shared" si="0"/>
        <v>x</v>
      </c>
      <c r="R31" t="str">
        <f t="shared" si="1"/>
        <v>x</v>
      </c>
      <c r="S31" t="str">
        <f t="shared" si="2"/>
        <v>x</v>
      </c>
      <c r="T31" t="str">
        <f t="shared" si="3"/>
        <v>x</v>
      </c>
      <c r="U31" t="str">
        <f t="shared" si="4"/>
        <v>x</v>
      </c>
    </row>
    <row r="32" spans="1:21" x14ac:dyDescent="0.25">
      <c r="A32">
        <v>31</v>
      </c>
      <c r="B32">
        <v>1</v>
      </c>
      <c r="C32">
        <v>4</v>
      </c>
      <c r="D32">
        <v>252338415</v>
      </c>
      <c r="E32">
        <v>270337510</v>
      </c>
      <c r="F32">
        <v>17.999095000000001</v>
      </c>
      <c r="G32">
        <v>10</v>
      </c>
      <c r="H32">
        <v>55</v>
      </c>
      <c r="I32">
        <v>989.95022500000005</v>
      </c>
      <c r="J32">
        <v>-42.254532759999996</v>
      </c>
      <c r="K32">
        <v>-185.54318459999999</v>
      </c>
      <c r="L32">
        <v>-9.5891277000000006</v>
      </c>
      <c r="M32">
        <v>191.17309320000001</v>
      </c>
      <c r="N32">
        <v>1261</v>
      </c>
      <c r="Q32" t="str">
        <f t="shared" si="0"/>
        <v>x</v>
      </c>
      <c r="R32" t="str">
        <f t="shared" si="1"/>
        <v>x</v>
      </c>
      <c r="S32" t="str">
        <f t="shared" si="2"/>
        <v>x</v>
      </c>
      <c r="T32" t="str">
        <f t="shared" si="3"/>
        <v>x</v>
      </c>
      <c r="U32" t="str">
        <f t="shared" si="4"/>
        <v>x</v>
      </c>
    </row>
    <row r="33" spans="1:21" x14ac:dyDescent="0.25">
      <c r="A33">
        <v>32</v>
      </c>
      <c r="B33">
        <v>2</v>
      </c>
      <c r="C33">
        <v>4</v>
      </c>
      <c r="D33">
        <v>273037407</v>
      </c>
      <c r="E33">
        <v>282036916</v>
      </c>
      <c r="F33">
        <v>8.9995089999999998</v>
      </c>
      <c r="G33">
        <v>20</v>
      </c>
      <c r="H33">
        <v>15</v>
      </c>
      <c r="I33">
        <v>134.99263500000001</v>
      </c>
      <c r="J33">
        <v>-18.75512041</v>
      </c>
      <c r="K33">
        <v>-183.41174520000001</v>
      </c>
      <c r="L33">
        <v>-5.5391712819999999</v>
      </c>
      <c r="M33">
        <v>184.77004410000001</v>
      </c>
      <c r="N33">
        <v>631</v>
      </c>
      <c r="Q33" t="str">
        <f t="shared" si="0"/>
        <v>x</v>
      </c>
      <c r="R33" t="str">
        <f t="shared" si="1"/>
        <v>x</v>
      </c>
      <c r="S33" t="str">
        <f t="shared" si="2"/>
        <v>x</v>
      </c>
      <c r="T33" t="str">
        <f t="shared" si="3"/>
        <v>x</v>
      </c>
      <c r="U33" t="str">
        <f t="shared" si="4"/>
        <v>x</v>
      </c>
    </row>
    <row r="34" spans="1:21" x14ac:dyDescent="0.25">
      <c r="A34">
        <v>33</v>
      </c>
      <c r="B34">
        <v>3</v>
      </c>
      <c r="C34">
        <v>4</v>
      </c>
      <c r="D34">
        <v>284736812</v>
      </c>
      <c r="E34">
        <v>290736516</v>
      </c>
      <c r="F34">
        <v>5.9997040000000004</v>
      </c>
      <c r="G34">
        <v>30</v>
      </c>
      <c r="H34">
        <v>25</v>
      </c>
      <c r="I34">
        <v>149.99260000000001</v>
      </c>
      <c r="J34">
        <v>-11.344389489999999</v>
      </c>
      <c r="K34">
        <v>-182.71146100000001</v>
      </c>
      <c r="L34">
        <v>-4.17160289</v>
      </c>
      <c r="M34">
        <v>183.2410247</v>
      </c>
      <c r="N34">
        <v>421</v>
      </c>
      <c r="Q34">
        <f t="shared" si="0"/>
        <v>183.2410247</v>
      </c>
      <c r="R34" t="str">
        <f t="shared" si="1"/>
        <v>x</v>
      </c>
      <c r="S34" t="str">
        <f t="shared" si="2"/>
        <v>x</v>
      </c>
      <c r="T34" t="str">
        <f t="shared" si="3"/>
        <v>x</v>
      </c>
      <c r="U34" t="str">
        <f t="shared" si="4"/>
        <v>x</v>
      </c>
    </row>
    <row r="35" spans="1:21" x14ac:dyDescent="0.25">
      <c r="A35">
        <v>34</v>
      </c>
      <c r="B35">
        <v>4</v>
      </c>
      <c r="C35">
        <v>4</v>
      </c>
      <c r="D35">
        <v>293436364</v>
      </c>
      <c r="E35">
        <v>297921836</v>
      </c>
      <c r="F35">
        <v>4.4854719999999997</v>
      </c>
      <c r="G35">
        <v>40</v>
      </c>
      <c r="H35">
        <v>35</v>
      </c>
      <c r="I35">
        <v>156.99152000000001</v>
      </c>
      <c r="J35">
        <v>-7.4499056020000003</v>
      </c>
      <c r="K35">
        <v>-181.36812140000001</v>
      </c>
      <c r="L35">
        <v>-3.5188294249999998</v>
      </c>
      <c r="M35">
        <v>181.6545452</v>
      </c>
      <c r="N35">
        <v>315</v>
      </c>
      <c r="Q35" t="str">
        <f t="shared" si="0"/>
        <v>x</v>
      </c>
      <c r="R35">
        <f t="shared" si="1"/>
        <v>181.6545452</v>
      </c>
      <c r="S35" t="str">
        <f t="shared" si="2"/>
        <v>x</v>
      </c>
      <c r="T35" t="str">
        <f t="shared" si="3"/>
        <v>x</v>
      </c>
      <c r="U35" t="str">
        <f t="shared" si="4"/>
        <v>x</v>
      </c>
    </row>
    <row r="36" spans="1:21" x14ac:dyDescent="0.25">
      <c r="A36">
        <v>35</v>
      </c>
      <c r="B36">
        <v>5</v>
      </c>
      <c r="C36">
        <v>4</v>
      </c>
      <c r="D36">
        <v>300621724</v>
      </c>
      <c r="E36">
        <v>304207238</v>
      </c>
      <c r="F36">
        <v>3.5855139999999999</v>
      </c>
      <c r="G36">
        <v>50</v>
      </c>
      <c r="H36">
        <v>45</v>
      </c>
      <c r="I36">
        <v>161.34813</v>
      </c>
      <c r="J36">
        <v>-5.1331348810000001</v>
      </c>
      <c r="K36">
        <v>-180.1848253</v>
      </c>
      <c r="L36">
        <v>-3.161121386</v>
      </c>
      <c r="M36">
        <v>180.3869751</v>
      </c>
      <c r="N36">
        <v>252</v>
      </c>
      <c r="Q36" t="str">
        <f t="shared" si="0"/>
        <v>x</v>
      </c>
      <c r="R36" t="str">
        <f t="shared" si="1"/>
        <v>x</v>
      </c>
      <c r="S36">
        <f t="shared" si="2"/>
        <v>180.3869751</v>
      </c>
      <c r="T36" t="str">
        <f t="shared" si="3"/>
        <v>x</v>
      </c>
      <c r="U36" t="str">
        <f t="shared" si="4"/>
        <v>x</v>
      </c>
    </row>
    <row r="37" spans="1:21" x14ac:dyDescent="0.25">
      <c r="A37">
        <v>36</v>
      </c>
      <c r="B37">
        <v>6</v>
      </c>
      <c r="C37">
        <v>4</v>
      </c>
      <c r="D37">
        <v>306907101</v>
      </c>
      <c r="E37">
        <v>309892690</v>
      </c>
      <c r="F37">
        <v>2.985589</v>
      </c>
      <c r="G37">
        <v>60</v>
      </c>
      <c r="H37">
        <v>55</v>
      </c>
      <c r="I37">
        <v>164.20739499999999</v>
      </c>
      <c r="J37">
        <v>-3.7587189630000002</v>
      </c>
      <c r="K37">
        <v>-178.90442200000001</v>
      </c>
      <c r="L37">
        <v>-2.8550500730000001</v>
      </c>
      <c r="M37">
        <v>179.058008</v>
      </c>
      <c r="N37">
        <v>210</v>
      </c>
      <c r="Q37" t="str">
        <f t="shared" si="0"/>
        <v>x</v>
      </c>
      <c r="R37" t="str">
        <f t="shared" si="1"/>
        <v>x</v>
      </c>
      <c r="S37" t="str">
        <f t="shared" si="2"/>
        <v>x</v>
      </c>
      <c r="T37">
        <f t="shared" si="3"/>
        <v>179.058008</v>
      </c>
      <c r="U37" t="str">
        <f t="shared" si="4"/>
        <v>x</v>
      </c>
    </row>
    <row r="38" spans="1:21" x14ac:dyDescent="0.25">
      <c r="A38">
        <v>37</v>
      </c>
      <c r="B38">
        <v>7</v>
      </c>
      <c r="C38">
        <v>4</v>
      </c>
      <c r="D38">
        <v>312592523</v>
      </c>
      <c r="E38">
        <v>315149573</v>
      </c>
      <c r="F38">
        <v>2.5570499999999998</v>
      </c>
      <c r="G38">
        <v>70</v>
      </c>
      <c r="H38">
        <v>65</v>
      </c>
      <c r="I38">
        <v>166.20824999999999</v>
      </c>
      <c r="J38">
        <v>-2.7517049199999999</v>
      </c>
      <c r="K38">
        <v>-178.33580380000001</v>
      </c>
      <c r="L38">
        <v>-2.6610255559999998</v>
      </c>
      <c r="M38">
        <v>178.4514685</v>
      </c>
      <c r="N38">
        <v>180</v>
      </c>
      <c r="Q38" t="str">
        <f t="shared" si="0"/>
        <v>x</v>
      </c>
      <c r="R38" t="str">
        <f t="shared" si="1"/>
        <v>x</v>
      </c>
      <c r="S38" t="str">
        <f t="shared" si="2"/>
        <v>x</v>
      </c>
      <c r="T38" t="str">
        <f t="shared" si="3"/>
        <v>x</v>
      </c>
      <c r="U38">
        <f t="shared" si="4"/>
        <v>178.4514685</v>
      </c>
    </row>
    <row r="39" spans="1:21" x14ac:dyDescent="0.25">
      <c r="A39">
        <v>38</v>
      </c>
      <c r="B39">
        <v>8</v>
      </c>
      <c r="C39">
        <v>4</v>
      </c>
      <c r="D39">
        <v>317849437</v>
      </c>
      <c r="E39">
        <v>320092176</v>
      </c>
      <c r="F39">
        <v>2.2427389999999998</v>
      </c>
      <c r="G39">
        <v>80</v>
      </c>
      <c r="H39">
        <v>75</v>
      </c>
      <c r="I39">
        <v>168.20542499999999</v>
      </c>
      <c r="J39">
        <v>-1.8752852959999999</v>
      </c>
      <c r="K39">
        <v>-177.4032952</v>
      </c>
      <c r="L39">
        <v>-2.444335256</v>
      </c>
      <c r="M39">
        <v>177.5171862</v>
      </c>
      <c r="N39">
        <v>158</v>
      </c>
      <c r="Q39" t="str">
        <f t="shared" si="0"/>
        <v>x</v>
      </c>
      <c r="R39" t="str">
        <f t="shared" si="1"/>
        <v>x</v>
      </c>
      <c r="S39" t="str">
        <f t="shared" si="2"/>
        <v>x</v>
      </c>
      <c r="T39" t="str">
        <f t="shared" si="3"/>
        <v>x</v>
      </c>
      <c r="U39" t="str">
        <f t="shared" si="4"/>
        <v>x</v>
      </c>
    </row>
    <row r="40" spans="1:21" x14ac:dyDescent="0.25">
      <c r="A40">
        <v>39</v>
      </c>
      <c r="B40">
        <v>9</v>
      </c>
      <c r="C40">
        <v>4</v>
      </c>
      <c r="D40">
        <v>322792046</v>
      </c>
      <c r="E40">
        <v>324791950</v>
      </c>
      <c r="F40">
        <v>1.9999039999999999</v>
      </c>
      <c r="G40">
        <v>90</v>
      </c>
      <c r="H40">
        <v>85</v>
      </c>
      <c r="I40">
        <v>169.99184</v>
      </c>
      <c r="J40">
        <v>-1.3395068489999999</v>
      </c>
      <c r="K40">
        <v>-176.79172829999999</v>
      </c>
      <c r="L40">
        <v>-2.3406444870000001</v>
      </c>
      <c r="M40">
        <v>176.88986679999999</v>
      </c>
      <c r="N40">
        <v>141</v>
      </c>
      <c r="Q40" t="str">
        <f t="shared" si="0"/>
        <v>x</v>
      </c>
      <c r="R40" t="str">
        <f t="shared" si="1"/>
        <v>x</v>
      </c>
      <c r="S40" t="str">
        <f t="shared" si="2"/>
        <v>x</v>
      </c>
      <c r="T40" t="str">
        <f t="shared" si="3"/>
        <v>x</v>
      </c>
      <c r="U40" t="str">
        <f t="shared" si="4"/>
        <v>x</v>
      </c>
    </row>
    <row r="41" spans="1:21" x14ac:dyDescent="0.25">
      <c r="A41">
        <v>40</v>
      </c>
      <c r="B41">
        <v>10</v>
      </c>
      <c r="C41">
        <v>4</v>
      </c>
      <c r="D41">
        <v>327491812</v>
      </c>
      <c r="E41">
        <v>329291718</v>
      </c>
      <c r="F41">
        <v>1.799906</v>
      </c>
      <c r="G41">
        <v>100</v>
      </c>
      <c r="H41">
        <v>95</v>
      </c>
      <c r="I41">
        <v>170.99107000000001</v>
      </c>
      <c r="J41">
        <v>-0.78958387299999999</v>
      </c>
      <c r="K41">
        <v>-175.1930682</v>
      </c>
      <c r="L41">
        <v>-2.302647092</v>
      </c>
      <c r="M41">
        <v>175.29705050000001</v>
      </c>
      <c r="N41">
        <v>127</v>
      </c>
      <c r="Q41" t="str">
        <f t="shared" si="0"/>
        <v>x</v>
      </c>
      <c r="R41" t="str">
        <f t="shared" si="1"/>
        <v>x</v>
      </c>
      <c r="S41" t="str">
        <f t="shared" si="2"/>
        <v>x</v>
      </c>
      <c r="T41" t="str">
        <f t="shared" si="3"/>
        <v>x</v>
      </c>
      <c r="U41" t="str">
        <f t="shared" si="4"/>
        <v>x</v>
      </c>
    </row>
    <row r="42" spans="1:21" x14ac:dyDescent="0.25">
      <c r="A42">
        <v>41</v>
      </c>
      <c r="B42">
        <v>1</v>
      </c>
      <c r="C42">
        <v>5</v>
      </c>
      <c r="D42">
        <v>331991553</v>
      </c>
      <c r="E42">
        <v>349990674</v>
      </c>
      <c r="F42">
        <v>17.999120999999999</v>
      </c>
      <c r="G42">
        <v>10</v>
      </c>
      <c r="H42">
        <v>55</v>
      </c>
      <c r="I42">
        <v>989.95165499999996</v>
      </c>
      <c r="J42">
        <v>-42.262380010000001</v>
      </c>
      <c r="K42">
        <v>-185.09356270000001</v>
      </c>
      <c r="L42">
        <v>-9.6697640479999993</v>
      </c>
      <c r="M42">
        <v>190.6919225</v>
      </c>
      <c r="N42">
        <v>1261</v>
      </c>
      <c r="Q42" t="str">
        <f t="shared" si="0"/>
        <v>x</v>
      </c>
      <c r="R42" t="str">
        <f t="shared" si="1"/>
        <v>x</v>
      </c>
      <c r="S42" t="str">
        <f t="shared" si="2"/>
        <v>x</v>
      </c>
      <c r="T42" t="str">
        <f t="shared" si="3"/>
        <v>x</v>
      </c>
      <c r="U42" t="str">
        <f t="shared" si="4"/>
        <v>x</v>
      </c>
    </row>
    <row r="43" spans="1:21" x14ac:dyDescent="0.25">
      <c r="A43">
        <v>42</v>
      </c>
      <c r="B43">
        <v>2</v>
      </c>
      <c r="C43">
        <v>5</v>
      </c>
      <c r="D43">
        <v>352690518</v>
      </c>
      <c r="E43">
        <v>361690102</v>
      </c>
      <c r="F43">
        <v>8.9995840000000005</v>
      </c>
      <c r="G43">
        <v>20</v>
      </c>
      <c r="H43">
        <v>15</v>
      </c>
      <c r="I43">
        <v>134.99376000000001</v>
      </c>
      <c r="J43">
        <v>-19.087767150000001</v>
      </c>
      <c r="K43">
        <v>-183.4436872</v>
      </c>
      <c r="L43">
        <v>-5.7313163339999997</v>
      </c>
      <c r="M43">
        <v>184.7657705</v>
      </c>
      <c r="N43">
        <v>631</v>
      </c>
      <c r="Q43" t="str">
        <f t="shared" si="0"/>
        <v>x</v>
      </c>
      <c r="R43" t="str">
        <f t="shared" si="1"/>
        <v>x</v>
      </c>
      <c r="S43" t="str">
        <f t="shared" si="2"/>
        <v>x</v>
      </c>
      <c r="T43" t="str">
        <f t="shared" si="3"/>
        <v>x</v>
      </c>
      <c r="U43" t="str">
        <f t="shared" si="4"/>
        <v>x</v>
      </c>
    </row>
    <row r="44" spans="1:21" x14ac:dyDescent="0.25">
      <c r="A44">
        <v>43</v>
      </c>
      <c r="B44">
        <v>3</v>
      </c>
      <c r="C44">
        <v>5</v>
      </c>
      <c r="D44">
        <v>364389949</v>
      </c>
      <c r="E44">
        <v>370389648</v>
      </c>
      <c r="F44">
        <v>5.9996989999999997</v>
      </c>
      <c r="G44">
        <v>30</v>
      </c>
      <c r="H44">
        <v>25</v>
      </c>
      <c r="I44">
        <v>149.99247500000001</v>
      </c>
      <c r="J44">
        <v>-11.474547899999999</v>
      </c>
      <c r="K44">
        <v>-182.6394703</v>
      </c>
      <c r="L44">
        <v>-4.1892078179999999</v>
      </c>
      <c r="M44">
        <v>183.1597763</v>
      </c>
      <c r="N44">
        <v>421</v>
      </c>
      <c r="Q44">
        <f t="shared" si="0"/>
        <v>183.1597763</v>
      </c>
      <c r="R44" t="str">
        <f t="shared" si="1"/>
        <v>x</v>
      </c>
      <c r="S44" t="str">
        <f t="shared" si="2"/>
        <v>x</v>
      </c>
      <c r="T44" t="str">
        <f t="shared" si="3"/>
        <v>x</v>
      </c>
      <c r="U44" t="str">
        <f t="shared" si="4"/>
        <v>x</v>
      </c>
    </row>
    <row r="45" spans="1:21" x14ac:dyDescent="0.25">
      <c r="A45">
        <v>44</v>
      </c>
      <c r="B45">
        <v>4</v>
      </c>
      <c r="C45">
        <v>5</v>
      </c>
      <c r="D45">
        <v>373089521</v>
      </c>
      <c r="E45">
        <v>377574994</v>
      </c>
      <c r="F45">
        <v>4.4854729999999998</v>
      </c>
      <c r="G45">
        <v>40</v>
      </c>
      <c r="H45">
        <v>35</v>
      </c>
      <c r="I45">
        <v>156.99155500000001</v>
      </c>
      <c r="J45">
        <v>-7.4855294289999996</v>
      </c>
      <c r="K45">
        <v>-180.9939139</v>
      </c>
      <c r="L45">
        <v>-3.4545694889999998</v>
      </c>
      <c r="M45">
        <v>181.2881276</v>
      </c>
      <c r="N45">
        <v>315</v>
      </c>
      <c r="Q45" t="str">
        <f t="shared" si="0"/>
        <v>x</v>
      </c>
      <c r="R45">
        <f t="shared" si="1"/>
        <v>181.2881276</v>
      </c>
      <c r="S45" t="str">
        <f t="shared" si="2"/>
        <v>x</v>
      </c>
      <c r="T45" t="str">
        <f t="shared" si="3"/>
        <v>x</v>
      </c>
      <c r="U45" t="str">
        <f t="shared" si="4"/>
        <v>x</v>
      </c>
    </row>
    <row r="46" spans="1:21" x14ac:dyDescent="0.25">
      <c r="A46">
        <v>45</v>
      </c>
      <c r="B46">
        <v>5</v>
      </c>
      <c r="C46">
        <v>5</v>
      </c>
      <c r="D46">
        <v>380274872</v>
      </c>
      <c r="E46">
        <v>383860408</v>
      </c>
      <c r="F46">
        <v>3.5855359999999998</v>
      </c>
      <c r="G46">
        <v>50</v>
      </c>
      <c r="H46">
        <v>45</v>
      </c>
      <c r="I46">
        <v>161.34912</v>
      </c>
      <c r="J46">
        <v>-5.2563855669999997</v>
      </c>
      <c r="K46">
        <v>-180.13118539999999</v>
      </c>
      <c r="L46">
        <v>-3.1599648579999999</v>
      </c>
      <c r="M46">
        <v>180.30420520000001</v>
      </c>
      <c r="N46">
        <v>252</v>
      </c>
      <c r="Q46" t="str">
        <f t="shared" si="0"/>
        <v>x</v>
      </c>
      <c r="R46" t="str">
        <f t="shared" si="1"/>
        <v>x</v>
      </c>
      <c r="S46">
        <f t="shared" si="2"/>
        <v>180.30420520000001</v>
      </c>
      <c r="T46" t="str">
        <f t="shared" si="3"/>
        <v>x</v>
      </c>
      <c r="U46" t="str">
        <f t="shared" si="4"/>
        <v>x</v>
      </c>
    </row>
    <row r="47" spans="1:21" x14ac:dyDescent="0.25">
      <c r="A47">
        <v>46</v>
      </c>
      <c r="B47">
        <v>6</v>
      </c>
      <c r="C47">
        <v>5</v>
      </c>
      <c r="D47">
        <v>386560261</v>
      </c>
      <c r="E47">
        <v>389545818</v>
      </c>
      <c r="F47">
        <v>2.985557</v>
      </c>
      <c r="G47">
        <v>60</v>
      </c>
      <c r="H47">
        <v>55</v>
      </c>
      <c r="I47">
        <v>164.205635</v>
      </c>
      <c r="J47">
        <v>-3.812221659</v>
      </c>
      <c r="K47">
        <v>-179.1743036</v>
      </c>
      <c r="L47">
        <v>-2.8767605079999998</v>
      </c>
      <c r="M47">
        <v>179.3284878</v>
      </c>
      <c r="N47">
        <v>210</v>
      </c>
      <c r="Q47" t="str">
        <f t="shared" si="0"/>
        <v>x</v>
      </c>
      <c r="R47" t="str">
        <f t="shared" si="1"/>
        <v>x</v>
      </c>
      <c r="S47" t="str">
        <f t="shared" si="2"/>
        <v>x</v>
      </c>
      <c r="T47">
        <f t="shared" si="3"/>
        <v>179.3284878</v>
      </c>
      <c r="U47" t="str">
        <f t="shared" si="4"/>
        <v>x</v>
      </c>
    </row>
    <row r="48" spans="1:21" x14ac:dyDescent="0.25">
      <c r="A48">
        <v>47</v>
      </c>
      <c r="B48">
        <v>7</v>
      </c>
      <c r="C48">
        <v>5</v>
      </c>
      <c r="D48">
        <v>392245685</v>
      </c>
      <c r="E48">
        <v>394802716</v>
      </c>
      <c r="F48">
        <v>2.5570309999999998</v>
      </c>
      <c r="G48">
        <v>70</v>
      </c>
      <c r="H48">
        <v>65</v>
      </c>
      <c r="I48">
        <v>166.20701500000001</v>
      </c>
      <c r="J48">
        <v>-2.4997327880000002</v>
      </c>
      <c r="K48">
        <v>-177.88451370000001</v>
      </c>
      <c r="L48">
        <v>-2.5842933619999999</v>
      </c>
      <c r="M48">
        <v>178.01307370000001</v>
      </c>
      <c r="N48">
        <v>180</v>
      </c>
      <c r="Q48" t="str">
        <f t="shared" si="0"/>
        <v>x</v>
      </c>
      <c r="R48" t="str">
        <f t="shared" si="1"/>
        <v>x</v>
      </c>
      <c r="S48" t="str">
        <f t="shared" si="2"/>
        <v>x</v>
      </c>
      <c r="T48" t="str">
        <f t="shared" si="3"/>
        <v>x</v>
      </c>
      <c r="U48">
        <f t="shared" si="4"/>
        <v>178.01307370000001</v>
      </c>
    </row>
    <row r="49" spans="1:21" x14ac:dyDescent="0.25">
      <c r="A49">
        <v>48</v>
      </c>
      <c r="B49">
        <v>8</v>
      </c>
      <c r="C49">
        <v>5</v>
      </c>
      <c r="D49">
        <v>397502591</v>
      </c>
      <c r="E49">
        <v>399745345</v>
      </c>
      <c r="F49">
        <v>2.2427540000000001</v>
      </c>
      <c r="G49">
        <v>80</v>
      </c>
      <c r="H49">
        <v>75</v>
      </c>
      <c r="I49">
        <v>168.20654999999999</v>
      </c>
      <c r="J49">
        <v>-1.69921535</v>
      </c>
      <c r="K49">
        <v>-176.72760629999999</v>
      </c>
      <c r="L49">
        <v>-2.4928535360000001</v>
      </c>
      <c r="M49">
        <v>176.8562149</v>
      </c>
      <c r="N49">
        <v>158</v>
      </c>
      <c r="Q49" t="str">
        <f t="shared" si="0"/>
        <v>x</v>
      </c>
      <c r="R49" t="str">
        <f t="shared" si="1"/>
        <v>x</v>
      </c>
      <c r="S49" t="str">
        <f t="shared" si="2"/>
        <v>x</v>
      </c>
      <c r="T49" t="str">
        <f t="shared" si="3"/>
        <v>x</v>
      </c>
      <c r="U49" t="str">
        <f t="shared" si="4"/>
        <v>x</v>
      </c>
    </row>
    <row r="50" spans="1:21" x14ac:dyDescent="0.25">
      <c r="A50">
        <v>49</v>
      </c>
      <c r="B50">
        <v>9</v>
      </c>
      <c r="C50">
        <v>5</v>
      </c>
      <c r="D50">
        <v>402445176</v>
      </c>
      <c r="E50">
        <v>404445088</v>
      </c>
      <c r="F50">
        <v>1.9999119999999999</v>
      </c>
      <c r="G50">
        <v>90</v>
      </c>
      <c r="H50">
        <v>85</v>
      </c>
      <c r="I50">
        <v>169.99252000000001</v>
      </c>
      <c r="J50">
        <v>-1.1574174100000001</v>
      </c>
      <c r="K50">
        <v>-176.95070849999999</v>
      </c>
      <c r="L50">
        <v>-2.250459824</v>
      </c>
      <c r="M50">
        <v>177.0617225</v>
      </c>
      <c r="N50">
        <v>141</v>
      </c>
      <c r="Q50" t="str">
        <f t="shared" si="0"/>
        <v>x</v>
      </c>
      <c r="R50" t="str">
        <f t="shared" si="1"/>
        <v>x</v>
      </c>
      <c r="S50" t="str">
        <f t="shared" si="2"/>
        <v>x</v>
      </c>
      <c r="T50" t="str">
        <f t="shared" si="3"/>
        <v>x</v>
      </c>
      <c r="U50" t="str">
        <f t="shared" si="4"/>
        <v>x</v>
      </c>
    </row>
    <row r="51" spans="1:21" x14ac:dyDescent="0.25">
      <c r="A51">
        <v>50</v>
      </c>
      <c r="B51">
        <v>10</v>
      </c>
      <c r="C51">
        <v>5</v>
      </c>
      <c r="D51">
        <v>407144949</v>
      </c>
      <c r="E51">
        <v>408944891</v>
      </c>
      <c r="F51">
        <v>1.7999419999999999</v>
      </c>
      <c r="G51">
        <v>100</v>
      </c>
      <c r="H51">
        <v>95</v>
      </c>
      <c r="I51">
        <v>170.99449000000001</v>
      </c>
      <c r="J51">
        <v>-0.83158566599999995</v>
      </c>
      <c r="K51">
        <v>-175.99524959999999</v>
      </c>
      <c r="L51">
        <v>-2.1049601939999998</v>
      </c>
      <c r="M51">
        <v>176.10194870000001</v>
      </c>
      <c r="N51">
        <v>127</v>
      </c>
      <c r="Q51" t="str">
        <f t="shared" si="0"/>
        <v>x</v>
      </c>
      <c r="R51" t="str">
        <f t="shared" si="1"/>
        <v>x</v>
      </c>
      <c r="S51" t="str">
        <f t="shared" si="2"/>
        <v>x</v>
      </c>
      <c r="T51" t="str">
        <f t="shared" si="3"/>
        <v>x</v>
      </c>
      <c r="U51" t="str">
        <f t="shared" si="4"/>
        <v>x</v>
      </c>
    </row>
    <row r="53" spans="1:21" x14ac:dyDescent="0.25">
      <c r="Q53">
        <f>SUM(Q2:Q51)/5</f>
        <v>183.28916678000002</v>
      </c>
      <c r="R53">
        <f t="shared" ref="R53:U53" si="5">SUM(R2:R51)/5</f>
        <v>181.41468026000001</v>
      </c>
      <c r="S53">
        <f t="shared" si="5"/>
        <v>180.4998008</v>
      </c>
      <c r="T53">
        <f t="shared" si="5"/>
        <v>179.17636062000003</v>
      </c>
      <c r="U53">
        <f t="shared" si="5"/>
        <v>178.12790218000001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2026-03-15T22:25:42Z</dcterms:created>
  <dcterms:modified xsi:type="dcterms:W3CDTF">2026-03-15T22:30:38Z</dcterms:modified>
</cp:coreProperties>
</file>