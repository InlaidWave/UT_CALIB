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"/>
    </mc:Choice>
  </mc:AlternateContent>
  <xr:revisionPtr revIDLastSave="0" documentId="13_ncr:1_{5F5B983E-10A0-4E55-8B88-131B2D83E4F4}" xr6:coauthVersionLast="47" xr6:coauthVersionMax="47" xr10:uidLastSave="{00000000-0000-0000-0000-000000000000}"/>
  <bookViews>
    <workbookView xWindow="0" yWindow="0" windowWidth="12360" windowHeight="21000" activeTab="2" xr2:uid="{7F220173-D304-4BDF-AA7F-8EAC8CFF0D5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 a="1"/>
  <c r="B26" i="3" s="1"/>
  <c r="C42" i="3" s="1"/>
  <c r="C51" i="3" s="1"/>
  <c r="D42" i="3"/>
  <c r="D43" i="3"/>
  <c r="C44" i="3"/>
  <c r="C43" i="3"/>
  <c r="B51" i="3"/>
  <c r="D51" i="3"/>
  <c r="D48" i="3"/>
  <c r="D49" i="3"/>
  <c r="D50" i="3"/>
  <c r="C49" i="3"/>
  <c r="C50" i="3"/>
  <c r="C48" i="3"/>
  <c r="X26" i="3" a="1"/>
  <c r="X26" i="3" s="1"/>
  <c r="W26" i="3" a="1"/>
  <c r="W26" i="3" s="1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M34" i="3"/>
  <c r="M37" i="3" s="1"/>
  <c r="G34" i="3"/>
  <c r="G37" i="3" s="1"/>
  <c r="M35" i="3"/>
  <c r="J34" i="3"/>
  <c r="B34" i="3"/>
  <c r="B37" i="3" s="1"/>
  <c r="B21" i="3"/>
  <c r="C45" i="3"/>
  <c r="C46" i="3"/>
  <c r="C47" i="3"/>
  <c r="H26" i="3" a="1"/>
  <c r="H26" i="3" s="1"/>
  <c r="M13" i="3" a="1"/>
  <c r="M13" i="3"/>
  <c r="N13" i="3" a="1"/>
  <c r="N13" i="3"/>
  <c r="O13" i="3" a="1"/>
  <c r="O13" i="3"/>
  <c r="P13" i="3" a="1"/>
  <c r="P13" i="3"/>
  <c r="Q13" i="3" a="1"/>
  <c r="Q13" i="3" s="1"/>
  <c r="R13" i="3" a="1"/>
  <c r="R13" i="3" s="1"/>
  <c r="S13" i="3" a="1"/>
  <c r="S13" i="3"/>
  <c r="T13" i="3" a="1"/>
  <c r="T13" i="3"/>
  <c r="U13" i="3" a="1"/>
  <c r="U13" i="3"/>
  <c r="V13" i="3" a="1"/>
  <c r="V13" i="3"/>
  <c r="W13" i="3" a="1"/>
  <c r="W13" i="3" s="1"/>
  <c r="E13" i="3" a="1"/>
  <c r="E13" i="3" s="1"/>
  <c r="J26" i="3" a="1"/>
  <c r="J26" i="3" s="1"/>
  <c r="I26" i="3" a="1"/>
  <c r="I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C13" i="3" a="1"/>
  <c r="C13" i="3" s="1"/>
  <c r="D13" i="3" a="1"/>
  <c r="D13" i="3" s="1"/>
  <c r="F13" i="3" a="1"/>
  <c r="F13" i="3"/>
  <c r="G13" i="3" a="1"/>
  <c r="G13" i="3" s="1"/>
  <c r="H13" i="3" a="1"/>
  <c r="H13" i="3" s="1"/>
  <c r="I13" i="3" a="1"/>
  <c r="I13" i="3" s="1"/>
  <c r="J13" i="3" a="1"/>
  <c r="J13" i="3" s="1"/>
  <c r="B13" i="3" a="1"/>
  <c r="B13" i="3" s="1"/>
  <c r="G11" i="3"/>
  <c r="H11" i="3"/>
  <c r="I11" i="3"/>
  <c r="J11" i="3"/>
  <c r="M11" i="3"/>
  <c r="U11" i="3"/>
  <c r="V11" i="3"/>
  <c r="W11" i="3"/>
  <c r="B10" i="3"/>
  <c r="C10" i="3"/>
  <c r="G10" i="3"/>
  <c r="H10" i="3"/>
  <c r="M10" i="3"/>
  <c r="N10" i="3"/>
  <c r="O10" i="3"/>
  <c r="P10" i="3"/>
  <c r="Q10" i="3"/>
  <c r="U10" i="3"/>
  <c r="V10" i="3"/>
  <c r="O9" i="3"/>
  <c r="C8" i="3"/>
  <c r="C9" i="3" s="1"/>
  <c r="D8" i="3"/>
  <c r="D9" i="3" s="1"/>
  <c r="E8" i="3"/>
  <c r="E9" i="3" s="1"/>
  <c r="F8" i="3"/>
  <c r="F9" i="3" s="1"/>
  <c r="G8" i="3"/>
  <c r="G9" i="3" s="1"/>
  <c r="H8" i="3"/>
  <c r="H9" i="3" s="1"/>
  <c r="I8" i="3"/>
  <c r="I9" i="3" s="1"/>
  <c r="J8" i="3"/>
  <c r="J9" i="3" s="1"/>
  <c r="M8" i="3"/>
  <c r="M9" i="3" s="1"/>
  <c r="N8" i="3"/>
  <c r="N9" i="3" s="1"/>
  <c r="O8" i="3"/>
  <c r="O11" i="3" s="1"/>
  <c r="P8" i="3"/>
  <c r="P9" i="3" s="1"/>
  <c r="Q8" i="3"/>
  <c r="Q9" i="3" s="1"/>
  <c r="R8" i="3"/>
  <c r="R9" i="3" s="1"/>
  <c r="S8" i="3"/>
  <c r="S9" i="3" s="1"/>
  <c r="T8" i="3"/>
  <c r="T9" i="3" s="1"/>
  <c r="U8" i="3"/>
  <c r="U9" i="3" s="1"/>
  <c r="V8" i="3"/>
  <c r="V9" i="3" s="1"/>
  <c r="W8" i="3"/>
  <c r="W9" i="3" s="1"/>
  <c r="X8" i="3"/>
  <c r="X9" i="3" s="1"/>
  <c r="B8" i="3"/>
  <c r="B9" i="3" s="1"/>
  <c r="P23" i="3"/>
  <c r="Q23" i="3"/>
  <c r="V23" i="3"/>
  <c r="W23" i="3"/>
  <c r="O24" i="3"/>
  <c r="C21" i="3"/>
  <c r="C22" i="3" s="1"/>
  <c r="D21" i="3"/>
  <c r="D24" i="3" s="1"/>
  <c r="E21" i="3"/>
  <c r="E24" i="3" s="1"/>
  <c r="F21" i="3"/>
  <c r="F22" i="3" s="1"/>
  <c r="G21" i="3"/>
  <c r="G24" i="3" s="1"/>
  <c r="H21" i="3"/>
  <c r="H22" i="3" s="1"/>
  <c r="I21" i="3"/>
  <c r="I22" i="3" s="1"/>
  <c r="J21" i="3"/>
  <c r="J22" i="3" s="1"/>
  <c r="M21" i="3"/>
  <c r="M22" i="3" s="1"/>
  <c r="N21" i="3"/>
  <c r="N23" i="3" s="1"/>
  <c r="O21" i="3"/>
  <c r="O23" i="3" s="1"/>
  <c r="P21" i="3"/>
  <c r="P22" i="3" s="1"/>
  <c r="Q21" i="3"/>
  <c r="Q22" i="3" s="1"/>
  <c r="R21" i="3"/>
  <c r="R24" i="3" s="1"/>
  <c r="S21" i="3"/>
  <c r="S24" i="3" s="1"/>
  <c r="T21" i="3"/>
  <c r="T22" i="3" s="1"/>
  <c r="U21" i="3"/>
  <c r="U24" i="3" s="1"/>
  <c r="V21" i="3"/>
  <c r="V22" i="3" s="1"/>
  <c r="W21" i="3"/>
  <c r="W22" i="3" s="1"/>
  <c r="X21" i="3"/>
  <c r="X22" i="3" s="1"/>
  <c r="B24" i="3"/>
  <c r="H35" i="3"/>
  <c r="C34" i="3"/>
  <c r="C35" i="3" s="1"/>
  <c r="D34" i="3"/>
  <c r="D36" i="3" s="1"/>
  <c r="E34" i="3"/>
  <c r="E37" i="3" s="1"/>
  <c r="F34" i="3"/>
  <c r="F37" i="3" s="1"/>
  <c r="G36" i="3"/>
  <c r="H34" i="3"/>
  <c r="H37" i="3" s="1"/>
  <c r="I34" i="3"/>
  <c r="I37" i="3" s="1"/>
  <c r="J35" i="3"/>
  <c r="N34" i="3"/>
  <c r="N37" i="3" s="1"/>
  <c r="O34" i="3"/>
  <c r="O37" i="3" s="1"/>
  <c r="P34" i="3"/>
  <c r="P35" i="3" s="1"/>
  <c r="Q34" i="3"/>
  <c r="Q36" i="3" s="1"/>
  <c r="R34" i="3"/>
  <c r="R36" i="3" s="1"/>
  <c r="S34" i="3"/>
  <c r="S36" i="3" s="1"/>
  <c r="T34" i="3"/>
  <c r="T36" i="3" s="1"/>
  <c r="U34" i="3"/>
  <c r="U36" i="3" s="1"/>
  <c r="V34" i="3"/>
  <c r="V37" i="3" s="1"/>
  <c r="W34" i="3"/>
  <c r="W37" i="3" s="1"/>
  <c r="X34" i="3"/>
  <c r="X35" i="3" s="1"/>
  <c r="D6" i="2"/>
  <c r="G6" i="2"/>
  <c r="H6" i="2"/>
  <c r="I6" i="2"/>
  <c r="B6" i="2"/>
  <c r="C37" i="1"/>
  <c r="D37" i="1"/>
  <c r="E37" i="1"/>
  <c r="G37" i="1"/>
  <c r="H37" i="1"/>
  <c r="I37" i="1"/>
  <c r="J37" i="1"/>
  <c r="L37" i="1"/>
  <c r="M37" i="1"/>
  <c r="N37" i="1"/>
  <c r="O37" i="1"/>
  <c r="B37" i="1"/>
  <c r="B24" i="1"/>
  <c r="M28" i="1"/>
  <c r="N28" i="1"/>
  <c r="O28" i="1"/>
  <c r="L29" i="1"/>
  <c r="H28" i="1"/>
  <c r="I28" i="1"/>
  <c r="J28" i="1"/>
  <c r="G29" i="1"/>
  <c r="I31" i="1"/>
  <c r="J31" i="1"/>
  <c r="G32" i="1"/>
  <c r="G35" i="1"/>
  <c r="I27" i="1"/>
  <c r="J27" i="1"/>
  <c r="G27" i="1"/>
  <c r="L27" i="1"/>
  <c r="C29" i="1"/>
  <c r="D29" i="1"/>
  <c r="E29" i="1"/>
  <c r="B30" i="1"/>
  <c r="C32" i="1"/>
  <c r="D32" i="1"/>
  <c r="E32" i="1"/>
  <c r="B33" i="1"/>
  <c r="C35" i="1"/>
  <c r="D35" i="1"/>
  <c r="E35" i="1"/>
  <c r="B36" i="1"/>
  <c r="L14" i="1"/>
  <c r="L28" i="1" s="1"/>
  <c r="M14" i="1"/>
  <c r="N14" i="1"/>
  <c r="O14" i="1"/>
  <c r="L15" i="1"/>
  <c r="M15" i="1"/>
  <c r="M29" i="1" s="1"/>
  <c r="N15" i="1"/>
  <c r="N29" i="1" s="1"/>
  <c r="O15" i="1"/>
  <c r="O29" i="1" s="1"/>
  <c r="L16" i="1"/>
  <c r="L30" i="1" s="1"/>
  <c r="M16" i="1"/>
  <c r="M30" i="1" s="1"/>
  <c r="N16" i="1"/>
  <c r="N30" i="1" s="1"/>
  <c r="O16" i="1"/>
  <c r="O30" i="1" s="1"/>
  <c r="L17" i="1"/>
  <c r="L31" i="1" s="1"/>
  <c r="M17" i="1"/>
  <c r="M31" i="1" s="1"/>
  <c r="N17" i="1"/>
  <c r="N31" i="1" s="1"/>
  <c r="O17" i="1"/>
  <c r="O31" i="1" s="1"/>
  <c r="L18" i="1"/>
  <c r="L32" i="1" s="1"/>
  <c r="M18" i="1"/>
  <c r="M32" i="1" s="1"/>
  <c r="N18" i="1"/>
  <c r="N32" i="1" s="1"/>
  <c r="O18" i="1"/>
  <c r="O32" i="1" s="1"/>
  <c r="L19" i="1"/>
  <c r="L33" i="1" s="1"/>
  <c r="M19" i="1"/>
  <c r="M33" i="1" s="1"/>
  <c r="N19" i="1"/>
  <c r="N33" i="1" s="1"/>
  <c r="O19" i="1"/>
  <c r="O33" i="1" s="1"/>
  <c r="L20" i="1"/>
  <c r="L34" i="1" s="1"/>
  <c r="M20" i="1"/>
  <c r="M34" i="1" s="1"/>
  <c r="N20" i="1"/>
  <c r="N34" i="1" s="1"/>
  <c r="O20" i="1"/>
  <c r="O34" i="1" s="1"/>
  <c r="L21" i="1"/>
  <c r="L35" i="1" s="1"/>
  <c r="M21" i="1"/>
  <c r="M35" i="1" s="1"/>
  <c r="N21" i="1"/>
  <c r="N35" i="1" s="1"/>
  <c r="O21" i="1"/>
  <c r="O35" i="1" s="1"/>
  <c r="L22" i="1"/>
  <c r="L36" i="1" s="1"/>
  <c r="M22" i="1"/>
  <c r="M36" i="1" s="1"/>
  <c r="N22" i="1"/>
  <c r="N36" i="1" s="1"/>
  <c r="O22" i="1"/>
  <c r="O36" i="1" s="1"/>
  <c r="M13" i="1"/>
  <c r="M27" i="1" s="1"/>
  <c r="N13" i="1"/>
  <c r="N27" i="1" s="1"/>
  <c r="O13" i="1"/>
  <c r="O27" i="1" s="1"/>
  <c r="L13" i="1"/>
  <c r="L24" i="1" s="1"/>
  <c r="H13" i="1"/>
  <c r="H27" i="1" s="1"/>
  <c r="I13" i="1"/>
  <c r="I24" i="1" s="1"/>
  <c r="J13" i="1"/>
  <c r="J24" i="1" s="1"/>
  <c r="H14" i="1"/>
  <c r="I14" i="1"/>
  <c r="J14" i="1"/>
  <c r="H15" i="1"/>
  <c r="H29" i="1" s="1"/>
  <c r="I15" i="1"/>
  <c r="I29" i="1" s="1"/>
  <c r="J15" i="1"/>
  <c r="J29" i="1" s="1"/>
  <c r="H16" i="1"/>
  <c r="H30" i="1" s="1"/>
  <c r="I16" i="1"/>
  <c r="I30" i="1" s="1"/>
  <c r="J16" i="1"/>
  <c r="J30" i="1" s="1"/>
  <c r="H17" i="1"/>
  <c r="H31" i="1" s="1"/>
  <c r="I17" i="1"/>
  <c r="J17" i="1"/>
  <c r="H18" i="1"/>
  <c r="H32" i="1" s="1"/>
  <c r="I18" i="1"/>
  <c r="I32" i="1" s="1"/>
  <c r="J18" i="1"/>
  <c r="J32" i="1" s="1"/>
  <c r="H19" i="1"/>
  <c r="H33" i="1" s="1"/>
  <c r="I19" i="1"/>
  <c r="I33" i="1" s="1"/>
  <c r="J19" i="1"/>
  <c r="J33" i="1" s="1"/>
  <c r="H20" i="1"/>
  <c r="H34" i="1" s="1"/>
  <c r="I20" i="1"/>
  <c r="I34" i="1" s="1"/>
  <c r="J20" i="1"/>
  <c r="J34" i="1" s="1"/>
  <c r="H21" i="1"/>
  <c r="H35" i="1" s="1"/>
  <c r="I21" i="1"/>
  <c r="I35" i="1" s="1"/>
  <c r="J21" i="1"/>
  <c r="J35" i="1" s="1"/>
  <c r="H22" i="1"/>
  <c r="H36" i="1" s="1"/>
  <c r="I22" i="1"/>
  <c r="I36" i="1" s="1"/>
  <c r="J22" i="1"/>
  <c r="J36" i="1" s="1"/>
  <c r="G14" i="1"/>
  <c r="G28" i="1" s="1"/>
  <c r="G15" i="1"/>
  <c r="G16" i="1"/>
  <c r="G30" i="1" s="1"/>
  <c r="G17" i="1"/>
  <c r="G31" i="1" s="1"/>
  <c r="G18" i="1"/>
  <c r="G19" i="1"/>
  <c r="G33" i="1" s="1"/>
  <c r="G20" i="1"/>
  <c r="G34" i="1" s="1"/>
  <c r="G21" i="1"/>
  <c r="G22" i="1"/>
  <c r="G36" i="1" s="1"/>
  <c r="G13" i="1"/>
  <c r="B13" i="1"/>
  <c r="B27" i="1" s="1"/>
  <c r="B14" i="1"/>
  <c r="B28" i="1" s="1"/>
  <c r="B22" i="1"/>
  <c r="C22" i="1"/>
  <c r="C36" i="1" s="1"/>
  <c r="D22" i="1"/>
  <c r="D36" i="1" s="1"/>
  <c r="E22" i="1"/>
  <c r="E36" i="1" s="1"/>
  <c r="C14" i="1"/>
  <c r="C28" i="1" s="1"/>
  <c r="D14" i="1"/>
  <c r="D28" i="1" s="1"/>
  <c r="E14" i="1"/>
  <c r="E24" i="1" s="1"/>
  <c r="B15" i="1"/>
  <c r="B29" i="1" s="1"/>
  <c r="C15" i="1"/>
  <c r="D15" i="1"/>
  <c r="E15" i="1"/>
  <c r="B16" i="1"/>
  <c r="C16" i="1"/>
  <c r="C30" i="1" s="1"/>
  <c r="D16" i="1"/>
  <c r="D30" i="1" s="1"/>
  <c r="E16" i="1"/>
  <c r="E30" i="1" s="1"/>
  <c r="B17" i="1"/>
  <c r="B31" i="1" s="1"/>
  <c r="C17" i="1"/>
  <c r="C31" i="1" s="1"/>
  <c r="D17" i="1"/>
  <c r="D31" i="1" s="1"/>
  <c r="E17" i="1"/>
  <c r="E31" i="1" s="1"/>
  <c r="B18" i="1"/>
  <c r="B32" i="1" s="1"/>
  <c r="C18" i="1"/>
  <c r="D18" i="1"/>
  <c r="E18" i="1"/>
  <c r="B19" i="1"/>
  <c r="C19" i="1"/>
  <c r="C33" i="1" s="1"/>
  <c r="D19" i="1"/>
  <c r="D33" i="1" s="1"/>
  <c r="E19" i="1"/>
  <c r="E33" i="1" s="1"/>
  <c r="B20" i="1"/>
  <c r="B34" i="1" s="1"/>
  <c r="C20" i="1"/>
  <c r="C34" i="1" s="1"/>
  <c r="D20" i="1"/>
  <c r="D34" i="1" s="1"/>
  <c r="E20" i="1"/>
  <c r="E34" i="1" s="1"/>
  <c r="B21" i="1"/>
  <c r="B35" i="1" s="1"/>
  <c r="C21" i="1"/>
  <c r="D21" i="1"/>
  <c r="E21" i="1"/>
  <c r="C13" i="1"/>
  <c r="C24" i="1" s="1"/>
  <c r="D13" i="1"/>
  <c r="D27" i="1" s="1"/>
  <c r="E13" i="1"/>
  <c r="E27" i="1" s="1"/>
  <c r="U37" i="3" l="1"/>
  <c r="V36" i="3"/>
  <c r="F36" i="3"/>
  <c r="F35" i="3"/>
  <c r="F39" i="3" s="1" a="1"/>
  <c r="F39" i="3" s="1"/>
  <c r="D46" i="3" s="1"/>
  <c r="I23" i="3"/>
  <c r="X10" i="3"/>
  <c r="J10" i="3"/>
  <c r="T11" i="3"/>
  <c r="F11" i="3"/>
  <c r="W35" i="3"/>
  <c r="W39" i="3" s="1" a="1"/>
  <c r="W39" i="3" s="1"/>
  <c r="H23" i="3"/>
  <c r="W10" i="3"/>
  <c r="I10" i="3"/>
  <c r="S11" i="3"/>
  <c r="E11" i="3"/>
  <c r="O36" i="3"/>
  <c r="V35" i="3"/>
  <c r="V39" i="3" s="1" a="1"/>
  <c r="V39" i="3" s="1"/>
  <c r="R11" i="3"/>
  <c r="D11" i="3"/>
  <c r="N35" i="3"/>
  <c r="N39" i="3" s="1" a="1"/>
  <c r="N39" i="3" s="1"/>
  <c r="Q11" i="3"/>
  <c r="C11" i="3"/>
  <c r="I35" i="3"/>
  <c r="I39" i="3" s="1" a="1"/>
  <c r="I39" i="3" s="1"/>
  <c r="T10" i="3"/>
  <c r="F10" i="3"/>
  <c r="P11" i="3"/>
  <c r="B11" i="3"/>
  <c r="P36" i="3"/>
  <c r="W24" i="3"/>
  <c r="S10" i="3"/>
  <c r="E10" i="3"/>
  <c r="X11" i="3"/>
  <c r="G35" i="3"/>
  <c r="G39" i="3" s="1" a="1"/>
  <c r="G39" i="3" s="1"/>
  <c r="D47" i="3" s="1"/>
  <c r="P24" i="3"/>
  <c r="R10" i="3"/>
  <c r="D10" i="3"/>
  <c r="N11" i="3"/>
  <c r="B35" i="3"/>
  <c r="N36" i="3"/>
  <c r="M23" i="3"/>
  <c r="X37" i="3"/>
  <c r="E35" i="3"/>
  <c r="Q24" i="3"/>
  <c r="J23" i="3"/>
  <c r="E36" i="3"/>
  <c r="U35" i="3"/>
  <c r="U39" i="3" s="1" a="1"/>
  <c r="U39" i="3" s="1"/>
  <c r="I24" i="3"/>
  <c r="T37" i="3"/>
  <c r="B23" i="3"/>
  <c r="N24" i="3"/>
  <c r="T35" i="3"/>
  <c r="C24" i="3"/>
  <c r="C23" i="3"/>
  <c r="X36" i="3"/>
  <c r="X39" i="3" s="1" a="1"/>
  <c r="X39" i="3" s="1"/>
  <c r="O35" i="3"/>
  <c r="O39" i="3" s="1" a="1"/>
  <c r="O39" i="3" s="1"/>
  <c r="X23" i="3"/>
  <c r="G22" i="3"/>
  <c r="E22" i="3"/>
  <c r="R37" i="3"/>
  <c r="D22" i="3"/>
  <c r="B36" i="3"/>
  <c r="Q37" i="3"/>
  <c r="J36" i="3"/>
  <c r="S35" i="3"/>
  <c r="M24" i="3"/>
  <c r="U23" i="3"/>
  <c r="G23" i="3"/>
  <c r="P37" i="3"/>
  <c r="W36" i="3"/>
  <c r="I36" i="3"/>
  <c r="R35" i="3"/>
  <c r="R39" i="3" s="1" a="1"/>
  <c r="R39" i="3" s="1"/>
  <c r="D35" i="3"/>
  <c r="D39" i="3" s="1" a="1"/>
  <c r="D39" i="3" s="1"/>
  <c r="D44" i="3" s="1"/>
  <c r="X24" i="3"/>
  <c r="J24" i="3"/>
  <c r="T23" i="3"/>
  <c r="F23" i="3"/>
  <c r="U22" i="3"/>
  <c r="S37" i="3"/>
  <c r="R22" i="3"/>
  <c r="C37" i="3"/>
  <c r="H36" i="3"/>
  <c r="H39" i="3" s="1" a="1"/>
  <c r="H39" i="3" s="1"/>
  <c r="Q35" i="3"/>
  <c r="Q39" i="3" s="1" a="1"/>
  <c r="Q39" i="3" s="1"/>
  <c r="S23" i="3"/>
  <c r="E23" i="3"/>
  <c r="O22" i="3"/>
  <c r="B22" i="3"/>
  <c r="C36" i="3"/>
  <c r="V24" i="3"/>
  <c r="H24" i="3"/>
  <c r="R23" i="3"/>
  <c r="D23" i="3"/>
  <c r="N22" i="3"/>
  <c r="D37" i="3"/>
  <c r="T24" i="3"/>
  <c r="F24" i="3"/>
  <c r="S22" i="3"/>
  <c r="M36" i="3"/>
  <c r="M39" i="3" s="1" a="1"/>
  <c r="M39" i="3" s="1"/>
  <c r="J37" i="3"/>
  <c r="D24" i="1"/>
  <c r="E28" i="1"/>
  <c r="O24" i="1"/>
  <c r="N24" i="1"/>
  <c r="H24" i="1"/>
  <c r="G24" i="1"/>
  <c r="M24" i="1"/>
  <c r="C27" i="1"/>
  <c r="T39" i="3" l="1" a="1"/>
  <c r="T39" i="3" s="1"/>
  <c r="P39" i="3" a="1"/>
  <c r="P39" i="3" s="1"/>
  <c r="S39" i="3" a="1"/>
  <c r="S39" i="3" s="1"/>
  <c r="E39" i="3" a="1"/>
  <c r="E39" i="3" s="1"/>
  <c r="D45" i="3" s="1"/>
  <c r="C39" i="3" a="1"/>
  <c r="C39" i="3" s="1"/>
  <c r="B39" i="3" a="1"/>
  <c r="B39" i="3" s="1"/>
  <c r="J39" i="3" a="1"/>
  <c r="J3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<sst xmlns="http://schemas.openxmlformats.org/spreadsheetml/2006/main" count="54" uniqueCount="15">
  <si>
    <t>protsent</t>
  </si>
  <si>
    <t>abs</t>
  </si>
  <si>
    <t>vaartus</t>
  </si>
  <si>
    <t>keskm</t>
  </si>
  <si>
    <t>TT</t>
  </si>
  <si>
    <t>MANUAL</t>
  </si>
  <si>
    <t>GUIDED</t>
  </si>
  <si>
    <t>BIAS</t>
  </si>
  <si>
    <t>SCALE</t>
  </si>
  <si>
    <t>MISAL</t>
  </si>
  <si>
    <t>X</t>
  </si>
  <si>
    <t>Y</t>
  </si>
  <si>
    <t>Z</t>
  </si>
  <si>
    <t>AVG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</si>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</sst>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BFBFBF"/>
      </bottom>
      <diagonal/>
    </border>
    <border>
      <left/>
      <right style="thick">
        <color indexed="64"/>
      </right>
      <top style="thick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ck">
        <color indexed="64"/>
      </top>
      <bottom style="medium">
        <color rgb="FFBFBFBF"/>
      </bottom>
      <diagonal/>
    </border>
    <border>
      <left style="thick">
        <color indexed="64"/>
      </left>
      <right style="thick">
        <color indexed="64"/>
      </right>
      <top/>
      <bottom style="medium">
        <color rgb="FFBFBFBF"/>
      </bottom>
      <diagonal/>
    </border>
    <border>
      <left/>
      <right style="thick">
        <color indexed="64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rgb="FFBFBFBF"/>
      </right>
      <top/>
      <bottom style="thick">
        <color indexed="64"/>
      </bottom>
      <diagonal/>
    </border>
    <border>
      <left style="thick">
        <color indexed="64"/>
      </left>
      <right style="medium">
        <color rgb="FFBFBFBF"/>
      </right>
      <top style="thick">
        <color indexed="64"/>
      </top>
      <bottom style="medium">
        <color rgb="FFBFBFBF"/>
      </bottom>
      <diagonal/>
    </border>
    <border>
      <left style="thick">
        <color indexed="64"/>
      </left>
      <right style="medium">
        <color rgb="FFBFBFBF"/>
      </right>
      <top/>
      <bottom style="medium">
        <color rgb="FFBFBFBF"/>
      </bottom>
      <diagonal/>
    </border>
    <border>
      <left style="thick">
        <color indexed="64"/>
      </left>
      <right style="medium">
        <color rgb="FFBFBFBF"/>
      </right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0792-7036-42C6-9053-F0FAC4348873}">
  <dimension ref="A1:O37"/>
  <sheetViews>
    <sheetView zoomScale="85" zoomScaleNormal="85" workbookViewId="0">
      <selection activeCell="B41" sqref="B41:B44"/>
    </sheetView>
  </sheetViews>
  <sheetFormatPr defaultRowHeight="15" x14ac:dyDescent="0.25"/>
  <sheetData>
    <row r="1" spans="1:15" ht="15.75" thickBot="1" x14ac:dyDescent="0.3"/>
    <row r="2" spans="1:15" ht="17.25" thickTop="1" thickBot="1" x14ac:dyDescent="0.3">
      <c r="A2" t="s">
        <v>2</v>
      </c>
      <c r="B2" s="1">
        <v>176.1</v>
      </c>
      <c r="C2" s="2">
        <v>179.5</v>
      </c>
      <c r="D2" s="2">
        <v>178.9</v>
      </c>
      <c r="E2" s="3">
        <v>187.1</v>
      </c>
      <c r="G2" s="1">
        <v>222.7</v>
      </c>
      <c r="H2" s="2">
        <v>218.6</v>
      </c>
      <c r="I2" s="2">
        <v>221.9</v>
      </c>
      <c r="J2" s="3">
        <v>230</v>
      </c>
      <c r="L2" s="1">
        <v>188.8</v>
      </c>
      <c r="M2" s="2">
        <v>185.5</v>
      </c>
      <c r="N2" s="2">
        <v>188</v>
      </c>
      <c r="O2" s="3">
        <v>185.4</v>
      </c>
    </row>
    <row r="3" spans="1:15" ht="16.5" thickBot="1" x14ac:dyDescent="0.3">
      <c r="B3" s="4">
        <v>175.5</v>
      </c>
      <c r="C3" s="5">
        <v>178.5</v>
      </c>
      <c r="D3" s="5">
        <v>177.7</v>
      </c>
      <c r="E3" s="6">
        <v>183.9</v>
      </c>
      <c r="G3" s="4">
        <v>200</v>
      </c>
      <c r="H3" s="5">
        <v>196.4</v>
      </c>
      <c r="I3" s="5">
        <v>199.4</v>
      </c>
      <c r="J3" s="6">
        <v>206.9</v>
      </c>
      <c r="L3" s="4">
        <v>181.7</v>
      </c>
      <c r="M3" s="5">
        <v>184.3</v>
      </c>
      <c r="N3" s="5">
        <v>182.8</v>
      </c>
      <c r="O3" s="6">
        <v>181.4</v>
      </c>
    </row>
    <row r="4" spans="1:15" ht="16.5" thickBot="1" x14ac:dyDescent="0.3">
      <c r="B4" s="4">
        <v>175.4</v>
      </c>
      <c r="C4" s="5">
        <v>178.2</v>
      </c>
      <c r="D4" s="5">
        <v>177.3</v>
      </c>
      <c r="E4" s="6">
        <v>182.8</v>
      </c>
      <c r="G4" s="4">
        <v>191.9</v>
      </c>
      <c r="H4" s="5">
        <v>188.4</v>
      </c>
      <c r="I4" s="5">
        <v>191.4</v>
      </c>
      <c r="J4" s="6">
        <v>198.5</v>
      </c>
      <c r="L4" s="4">
        <v>179.3</v>
      </c>
      <c r="M4" s="5">
        <v>183.8</v>
      </c>
      <c r="N4" s="5">
        <v>181.1</v>
      </c>
      <c r="O4" s="6">
        <v>180.1</v>
      </c>
    </row>
    <row r="5" spans="1:15" ht="16.5" thickBot="1" x14ac:dyDescent="0.3">
      <c r="B5" s="4">
        <v>174.5</v>
      </c>
      <c r="C5" s="5">
        <v>177.2</v>
      </c>
      <c r="D5" s="5">
        <v>176.2</v>
      </c>
      <c r="E5" s="6">
        <v>181.4</v>
      </c>
      <c r="G5" s="4">
        <v>186.9</v>
      </c>
      <c r="H5" s="5">
        <v>183.5</v>
      </c>
      <c r="I5" s="5">
        <v>186.4</v>
      </c>
      <c r="J5" s="6">
        <v>193.4</v>
      </c>
      <c r="L5" s="4">
        <v>177.2</v>
      </c>
      <c r="M5" s="5">
        <v>182.7</v>
      </c>
      <c r="N5" s="5">
        <v>179.3</v>
      </c>
      <c r="O5" s="6">
        <v>178.5</v>
      </c>
    </row>
    <row r="6" spans="1:15" ht="16.5" thickBot="1" x14ac:dyDescent="0.3">
      <c r="B6" s="4">
        <v>173.6</v>
      </c>
      <c r="C6" s="5">
        <v>176.3</v>
      </c>
      <c r="D6" s="5">
        <v>175.3</v>
      </c>
      <c r="E6" s="6">
        <v>180.2</v>
      </c>
      <c r="G6" s="4">
        <v>183.6</v>
      </c>
      <c r="H6" s="5">
        <v>180.3</v>
      </c>
      <c r="I6" s="5">
        <v>183.1</v>
      </c>
      <c r="J6" s="6">
        <v>190</v>
      </c>
      <c r="L6" s="4">
        <v>176.1</v>
      </c>
      <c r="M6" s="5">
        <v>182.1</v>
      </c>
      <c r="N6" s="5">
        <v>178.4</v>
      </c>
      <c r="O6" s="6">
        <v>177.7</v>
      </c>
    </row>
    <row r="7" spans="1:15" ht="16.5" thickBot="1" x14ac:dyDescent="0.3">
      <c r="B7" s="4">
        <v>172.7</v>
      </c>
      <c r="C7" s="5">
        <v>175.3</v>
      </c>
      <c r="D7" s="5">
        <v>174.4</v>
      </c>
      <c r="E7" s="6">
        <v>179.1</v>
      </c>
      <c r="G7" s="4">
        <v>181.2</v>
      </c>
      <c r="H7" s="5">
        <v>177.9</v>
      </c>
      <c r="I7" s="5">
        <v>180.7</v>
      </c>
      <c r="J7" s="6">
        <v>187.5</v>
      </c>
      <c r="L7" s="4">
        <v>174.6</v>
      </c>
      <c r="M7" s="5">
        <v>181.1</v>
      </c>
      <c r="N7" s="5">
        <v>177.1</v>
      </c>
      <c r="O7" s="6">
        <v>176.5</v>
      </c>
    </row>
    <row r="8" spans="1:15" ht="16.5" thickBot="1" x14ac:dyDescent="0.3">
      <c r="B8" s="4">
        <v>171.8</v>
      </c>
      <c r="C8" s="5">
        <v>174.4</v>
      </c>
      <c r="D8" s="5">
        <v>173.5</v>
      </c>
      <c r="E8" s="6">
        <v>178.1</v>
      </c>
      <c r="G8" s="4">
        <v>179.1</v>
      </c>
      <c r="H8" s="5">
        <v>175.8</v>
      </c>
      <c r="I8" s="5">
        <v>178.6</v>
      </c>
      <c r="J8" s="6">
        <v>185.4</v>
      </c>
      <c r="L8" s="4">
        <v>173.7</v>
      </c>
      <c r="M8" s="5">
        <v>179.6</v>
      </c>
      <c r="N8" s="5">
        <v>176.1</v>
      </c>
      <c r="O8" s="6">
        <v>175.6</v>
      </c>
    </row>
    <row r="9" spans="1:15" ht="16.5" thickBot="1" x14ac:dyDescent="0.3">
      <c r="B9" s="4">
        <v>171.5</v>
      </c>
      <c r="C9" s="5">
        <v>174.1</v>
      </c>
      <c r="D9" s="5">
        <v>173.1</v>
      </c>
      <c r="E9" s="6">
        <v>177.7</v>
      </c>
      <c r="G9" s="4">
        <v>177.6</v>
      </c>
      <c r="H9" s="5">
        <v>174.4</v>
      </c>
      <c r="I9" s="5">
        <v>177.1</v>
      </c>
      <c r="J9" s="6">
        <v>183.9</v>
      </c>
      <c r="L9" s="4">
        <v>172.8</v>
      </c>
      <c r="M9" s="5">
        <v>179.2</v>
      </c>
      <c r="N9" s="5">
        <v>175.4</v>
      </c>
      <c r="O9" s="6">
        <v>174.9</v>
      </c>
    </row>
    <row r="10" spans="1:15" ht="16.5" thickBot="1" x14ac:dyDescent="0.3">
      <c r="B10" s="4">
        <v>171</v>
      </c>
      <c r="C10" s="5">
        <v>173.5</v>
      </c>
      <c r="D10" s="5">
        <v>172.6</v>
      </c>
      <c r="E10" s="6">
        <v>177.1</v>
      </c>
      <c r="G10" s="4">
        <v>177</v>
      </c>
      <c r="H10" s="5">
        <v>173.3</v>
      </c>
      <c r="I10" s="5">
        <v>176</v>
      </c>
      <c r="J10" s="6">
        <v>182.8</v>
      </c>
      <c r="L10" s="4">
        <v>172.3</v>
      </c>
      <c r="M10" s="5">
        <v>179.2</v>
      </c>
      <c r="N10" s="5">
        <v>174.9</v>
      </c>
      <c r="O10" s="6">
        <v>174.4</v>
      </c>
    </row>
    <row r="11" spans="1:15" ht="16.5" thickBot="1" x14ac:dyDescent="0.3">
      <c r="B11" s="7">
        <v>170</v>
      </c>
      <c r="C11" s="8">
        <v>172.5</v>
      </c>
      <c r="D11" s="8">
        <v>171.6</v>
      </c>
      <c r="E11" s="9">
        <v>176</v>
      </c>
      <c r="G11" s="7">
        <v>175</v>
      </c>
      <c r="H11" s="8">
        <v>171.8</v>
      </c>
      <c r="I11" s="8">
        <v>174.5</v>
      </c>
      <c r="J11" s="9">
        <v>181.2</v>
      </c>
      <c r="L11" s="7">
        <v>171.1</v>
      </c>
      <c r="M11" s="8">
        <v>178</v>
      </c>
      <c r="N11" s="8">
        <v>173.7</v>
      </c>
      <c r="O11" s="9">
        <v>173.2</v>
      </c>
    </row>
    <row r="12" spans="1:15" ht="15.75" thickTop="1" x14ac:dyDescent="0.25"/>
    <row r="13" spans="1:15" x14ac:dyDescent="0.25">
      <c r="A13" t="s">
        <v>1</v>
      </c>
      <c r="B13" s="10">
        <f>ABS(B2-180)</f>
        <v>3.9000000000000057</v>
      </c>
      <c r="C13" s="10">
        <f t="shared" ref="C13:E13" si="0">ABS(C2-180)</f>
        <v>0.5</v>
      </c>
      <c r="D13" s="10">
        <f t="shared" si="0"/>
        <v>1.0999999999999943</v>
      </c>
      <c r="E13" s="10">
        <f t="shared" si="0"/>
        <v>7.0999999999999943</v>
      </c>
      <c r="G13" s="10">
        <f>ABS(G2-180)</f>
        <v>42.699999999999989</v>
      </c>
      <c r="H13" s="10">
        <f t="shared" ref="H13:J13" si="1">ABS(H2-180)</f>
        <v>38.599999999999994</v>
      </c>
      <c r="I13" s="10">
        <f t="shared" si="1"/>
        <v>41.900000000000006</v>
      </c>
      <c r="J13" s="10">
        <f t="shared" si="1"/>
        <v>50</v>
      </c>
      <c r="L13">
        <f>ABS(L2-180)</f>
        <v>8.8000000000000114</v>
      </c>
      <c r="M13">
        <f t="shared" ref="M13:O13" si="2">ABS(M2-180)</f>
        <v>5.5</v>
      </c>
      <c r="N13">
        <f t="shared" si="2"/>
        <v>8</v>
      </c>
      <c r="O13">
        <f t="shared" si="2"/>
        <v>5.4000000000000057</v>
      </c>
    </row>
    <row r="14" spans="1:15" x14ac:dyDescent="0.25">
      <c r="B14" s="10">
        <f>ABS(B3-180)</f>
        <v>4.5</v>
      </c>
      <c r="C14" s="10">
        <f t="shared" ref="C14:E14" si="3">ABS(C3-180)</f>
        <v>1.5</v>
      </c>
      <c r="D14" s="10">
        <f t="shared" si="3"/>
        <v>2.3000000000000114</v>
      </c>
      <c r="E14" s="10">
        <f t="shared" si="3"/>
        <v>3.9000000000000057</v>
      </c>
      <c r="G14" s="10">
        <f t="shared" ref="G14:J22" si="4">ABS(G3-180)</f>
        <v>20</v>
      </c>
      <c r="H14" s="10">
        <f t="shared" si="4"/>
        <v>16.400000000000006</v>
      </c>
      <c r="I14" s="10">
        <f t="shared" si="4"/>
        <v>19.400000000000006</v>
      </c>
      <c r="J14" s="10">
        <f t="shared" si="4"/>
        <v>26.900000000000006</v>
      </c>
      <c r="L14">
        <f t="shared" ref="L14:O14" si="5">ABS(L3-180)</f>
        <v>1.6999999999999886</v>
      </c>
      <c r="M14">
        <f t="shared" si="5"/>
        <v>4.3000000000000114</v>
      </c>
      <c r="N14">
        <f t="shared" si="5"/>
        <v>2.8000000000000114</v>
      </c>
      <c r="O14">
        <f t="shared" si="5"/>
        <v>1.4000000000000057</v>
      </c>
    </row>
    <row r="15" spans="1:15" x14ac:dyDescent="0.25">
      <c r="B15" s="10">
        <f t="shared" ref="B15:E15" si="6">ABS(B4-180)</f>
        <v>4.5999999999999943</v>
      </c>
      <c r="C15" s="10">
        <f t="shared" si="6"/>
        <v>1.8000000000000114</v>
      </c>
      <c r="D15" s="10">
        <f t="shared" si="6"/>
        <v>2.6999999999999886</v>
      </c>
      <c r="E15" s="10">
        <f t="shared" si="6"/>
        <v>2.8000000000000114</v>
      </c>
      <c r="G15" s="10">
        <f t="shared" si="4"/>
        <v>11.900000000000006</v>
      </c>
      <c r="H15" s="10">
        <f t="shared" si="4"/>
        <v>8.4000000000000057</v>
      </c>
      <c r="I15" s="10">
        <f t="shared" si="4"/>
        <v>11.400000000000006</v>
      </c>
      <c r="J15" s="10">
        <f t="shared" si="4"/>
        <v>18.5</v>
      </c>
      <c r="L15">
        <f t="shared" ref="L15:O15" si="7">ABS(L4-180)</f>
        <v>0.69999999999998863</v>
      </c>
      <c r="M15">
        <f t="shared" si="7"/>
        <v>3.8000000000000114</v>
      </c>
      <c r="N15">
        <f t="shared" si="7"/>
        <v>1.0999999999999943</v>
      </c>
      <c r="O15">
        <f t="shared" si="7"/>
        <v>9.9999999999994316E-2</v>
      </c>
    </row>
    <row r="16" spans="1:15" x14ac:dyDescent="0.25">
      <c r="B16" s="10">
        <f t="shared" ref="B16:E16" si="8">ABS(B5-180)</f>
        <v>5.5</v>
      </c>
      <c r="C16" s="10">
        <f t="shared" si="8"/>
        <v>2.8000000000000114</v>
      </c>
      <c r="D16" s="10">
        <f t="shared" si="8"/>
        <v>3.8000000000000114</v>
      </c>
      <c r="E16" s="10">
        <f t="shared" si="8"/>
        <v>1.4000000000000057</v>
      </c>
      <c r="G16" s="10">
        <f t="shared" si="4"/>
        <v>6.9000000000000057</v>
      </c>
      <c r="H16" s="10">
        <f t="shared" si="4"/>
        <v>3.5</v>
      </c>
      <c r="I16" s="10">
        <f t="shared" si="4"/>
        <v>6.4000000000000057</v>
      </c>
      <c r="J16" s="10">
        <f t="shared" si="4"/>
        <v>13.400000000000006</v>
      </c>
      <c r="L16">
        <f t="shared" ref="L16:O16" si="9">ABS(L5-180)</f>
        <v>2.8000000000000114</v>
      </c>
      <c r="M16">
        <f t="shared" si="9"/>
        <v>2.6999999999999886</v>
      </c>
      <c r="N16">
        <f t="shared" si="9"/>
        <v>0.69999999999998863</v>
      </c>
      <c r="O16">
        <f t="shared" si="9"/>
        <v>1.5</v>
      </c>
    </row>
    <row r="17" spans="1:15" x14ac:dyDescent="0.25">
      <c r="B17" s="10">
        <f t="shared" ref="B17:E17" si="10">ABS(B6-180)</f>
        <v>6.4000000000000057</v>
      </c>
      <c r="C17" s="10">
        <f t="shared" si="10"/>
        <v>3.6999999999999886</v>
      </c>
      <c r="D17" s="10">
        <f t="shared" si="10"/>
        <v>4.6999999999999886</v>
      </c>
      <c r="E17" s="10">
        <f t="shared" si="10"/>
        <v>0.19999999999998863</v>
      </c>
      <c r="G17" s="10">
        <f t="shared" si="4"/>
        <v>3.5999999999999943</v>
      </c>
      <c r="H17" s="10">
        <f t="shared" si="4"/>
        <v>0.30000000000001137</v>
      </c>
      <c r="I17" s="10">
        <f t="shared" si="4"/>
        <v>3.0999999999999943</v>
      </c>
      <c r="J17" s="10">
        <f t="shared" si="4"/>
        <v>10</v>
      </c>
      <c r="L17">
        <f t="shared" ref="L17:O17" si="11">ABS(L6-180)</f>
        <v>3.9000000000000057</v>
      </c>
      <c r="M17">
        <f t="shared" si="11"/>
        <v>2.0999999999999943</v>
      </c>
      <c r="N17">
        <f t="shared" si="11"/>
        <v>1.5999999999999943</v>
      </c>
      <c r="O17">
        <f t="shared" si="11"/>
        <v>2.3000000000000114</v>
      </c>
    </row>
    <row r="18" spans="1:15" x14ac:dyDescent="0.25">
      <c r="B18" s="10">
        <f t="shared" ref="B18:E18" si="12">ABS(B7-180)</f>
        <v>7.3000000000000114</v>
      </c>
      <c r="C18" s="10">
        <f t="shared" si="12"/>
        <v>4.6999999999999886</v>
      </c>
      <c r="D18" s="10">
        <f t="shared" si="12"/>
        <v>5.5999999999999943</v>
      </c>
      <c r="E18" s="10">
        <f t="shared" si="12"/>
        <v>0.90000000000000568</v>
      </c>
      <c r="G18" s="10">
        <f t="shared" si="4"/>
        <v>1.1999999999999886</v>
      </c>
      <c r="H18" s="10">
        <f t="shared" si="4"/>
        <v>2.0999999999999943</v>
      </c>
      <c r="I18" s="10">
        <f t="shared" si="4"/>
        <v>0.69999999999998863</v>
      </c>
      <c r="J18" s="10">
        <f t="shared" si="4"/>
        <v>7.5</v>
      </c>
      <c r="L18">
        <f t="shared" ref="L18:O18" si="13">ABS(L7-180)</f>
        <v>5.4000000000000057</v>
      </c>
      <c r="M18">
        <f t="shared" si="13"/>
        <v>1.0999999999999943</v>
      </c>
      <c r="N18">
        <f t="shared" si="13"/>
        <v>2.9000000000000057</v>
      </c>
      <c r="O18">
        <f t="shared" si="13"/>
        <v>3.5</v>
      </c>
    </row>
    <row r="19" spans="1:15" x14ac:dyDescent="0.25">
      <c r="B19" s="10">
        <f t="shared" ref="B19:E19" si="14">ABS(B8-180)</f>
        <v>8.1999999999999886</v>
      </c>
      <c r="C19" s="10">
        <f t="shared" si="14"/>
        <v>5.5999999999999943</v>
      </c>
      <c r="D19" s="10">
        <f t="shared" si="14"/>
        <v>6.5</v>
      </c>
      <c r="E19" s="10">
        <f t="shared" si="14"/>
        <v>1.9000000000000057</v>
      </c>
      <c r="G19" s="10">
        <f t="shared" si="4"/>
        <v>0.90000000000000568</v>
      </c>
      <c r="H19" s="10">
        <f t="shared" si="4"/>
        <v>4.1999999999999886</v>
      </c>
      <c r="I19" s="10">
        <f t="shared" si="4"/>
        <v>1.4000000000000057</v>
      </c>
      <c r="J19" s="10">
        <f t="shared" si="4"/>
        <v>5.4000000000000057</v>
      </c>
      <c r="L19">
        <f t="shared" ref="L19:O19" si="15">ABS(L8-180)</f>
        <v>6.3000000000000114</v>
      </c>
      <c r="M19">
        <f t="shared" si="15"/>
        <v>0.40000000000000568</v>
      </c>
      <c r="N19">
        <f t="shared" si="15"/>
        <v>3.9000000000000057</v>
      </c>
      <c r="O19">
        <f t="shared" si="15"/>
        <v>4.4000000000000057</v>
      </c>
    </row>
    <row r="20" spans="1:15" x14ac:dyDescent="0.25">
      <c r="B20" s="10">
        <f t="shared" ref="B20:E20" si="16">ABS(B9-180)</f>
        <v>8.5</v>
      </c>
      <c r="C20" s="10">
        <f t="shared" si="16"/>
        <v>5.9000000000000057</v>
      </c>
      <c r="D20" s="10">
        <f t="shared" si="16"/>
        <v>6.9000000000000057</v>
      </c>
      <c r="E20" s="10">
        <f t="shared" si="16"/>
        <v>2.3000000000000114</v>
      </c>
      <c r="G20" s="10">
        <f t="shared" si="4"/>
        <v>2.4000000000000057</v>
      </c>
      <c r="H20" s="10">
        <f t="shared" si="4"/>
        <v>5.5999999999999943</v>
      </c>
      <c r="I20" s="10">
        <f t="shared" si="4"/>
        <v>2.9000000000000057</v>
      </c>
      <c r="J20" s="10">
        <f t="shared" si="4"/>
        <v>3.9000000000000057</v>
      </c>
      <c r="L20">
        <f t="shared" ref="L20:O20" si="17">ABS(L9-180)</f>
        <v>7.1999999999999886</v>
      </c>
      <c r="M20">
        <f t="shared" si="17"/>
        <v>0.80000000000001137</v>
      </c>
      <c r="N20">
        <f t="shared" si="17"/>
        <v>4.5999999999999943</v>
      </c>
      <c r="O20">
        <f t="shared" si="17"/>
        <v>5.0999999999999943</v>
      </c>
    </row>
    <row r="21" spans="1:15" x14ac:dyDescent="0.25">
      <c r="B21" s="10">
        <f t="shared" ref="B21:E22" si="18">ABS(B10-180)</f>
        <v>9</v>
      </c>
      <c r="C21" s="10">
        <f t="shared" si="18"/>
        <v>6.5</v>
      </c>
      <c r="D21" s="10">
        <f t="shared" si="18"/>
        <v>7.4000000000000057</v>
      </c>
      <c r="E21" s="10">
        <f t="shared" si="18"/>
        <v>2.9000000000000057</v>
      </c>
      <c r="G21" s="10">
        <f t="shared" si="4"/>
        <v>3</v>
      </c>
      <c r="H21" s="10">
        <f t="shared" si="4"/>
        <v>6.6999999999999886</v>
      </c>
      <c r="I21" s="10">
        <f t="shared" si="4"/>
        <v>4</v>
      </c>
      <c r="J21" s="10">
        <f t="shared" si="4"/>
        <v>2.8000000000000114</v>
      </c>
      <c r="L21">
        <f t="shared" ref="L21:O21" si="19">ABS(L10-180)</f>
        <v>7.6999999999999886</v>
      </c>
      <c r="M21">
        <f t="shared" si="19"/>
        <v>0.80000000000001137</v>
      </c>
      <c r="N21">
        <f t="shared" si="19"/>
        <v>5.0999999999999943</v>
      </c>
      <c r="O21">
        <f t="shared" si="19"/>
        <v>5.5999999999999943</v>
      </c>
    </row>
    <row r="22" spans="1:15" x14ac:dyDescent="0.25">
      <c r="B22" s="10">
        <f t="shared" si="18"/>
        <v>10</v>
      </c>
      <c r="C22" s="10">
        <f t="shared" si="18"/>
        <v>7.5</v>
      </c>
      <c r="D22" s="10">
        <f t="shared" si="18"/>
        <v>8.4000000000000057</v>
      </c>
      <c r="E22" s="10">
        <f t="shared" si="18"/>
        <v>4</v>
      </c>
      <c r="G22" s="10">
        <f t="shared" si="4"/>
        <v>5</v>
      </c>
      <c r="H22" s="10">
        <f t="shared" si="4"/>
        <v>8.1999999999999886</v>
      </c>
      <c r="I22" s="10">
        <f t="shared" si="4"/>
        <v>5.5</v>
      </c>
      <c r="J22" s="10">
        <f t="shared" si="4"/>
        <v>1.1999999999999886</v>
      </c>
      <c r="L22">
        <f t="shared" ref="L22:O22" si="20">ABS(L11-180)</f>
        <v>8.9000000000000057</v>
      </c>
      <c r="M22">
        <f t="shared" si="20"/>
        <v>2</v>
      </c>
      <c r="N22">
        <f t="shared" si="20"/>
        <v>6.3000000000000114</v>
      </c>
      <c r="O22">
        <f t="shared" si="20"/>
        <v>6.8000000000000114</v>
      </c>
    </row>
    <row r="24" spans="1:15" x14ac:dyDescent="0.25">
      <c r="A24" t="s">
        <v>3</v>
      </c>
      <c r="B24" s="10">
        <f>AVERAGE(B13:B22)</f>
        <v>6.7900000000000009</v>
      </c>
      <c r="C24" s="10">
        <f>AVERAGE(C13:C22)</f>
        <v>4.05</v>
      </c>
      <c r="D24" s="10">
        <f>AVERAGE(D13:D22)</f>
        <v>4.9400000000000004</v>
      </c>
      <c r="E24" s="10">
        <f>AVERAGE(E13:E22)</f>
        <v>2.7400000000000033</v>
      </c>
      <c r="F24" s="10"/>
      <c r="G24" s="10">
        <f>AVERAGE(G13:G22)</f>
        <v>9.76</v>
      </c>
      <c r="H24" s="10">
        <f>AVERAGE(H13:H22)</f>
        <v>9.3999999999999968</v>
      </c>
      <c r="I24" s="10">
        <f>AVERAGE(I13:I22)</f>
        <v>9.6700000000000017</v>
      </c>
      <c r="J24" s="10">
        <f>AVERAGE(J13:J22)</f>
        <v>13.960000000000003</v>
      </c>
      <c r="K24" s="10"/>
      <c r="L24" s="10">
        <f>AVERAGE(L13:L22)</f>
        <v>5.3400000000000007</v>
      </c>
      <c r="M24" s="10">
        <f>AVERAGE(M13:M22)</f>
        <v>2.3500000000000028</v>
      </c>
      <c r="N24" s="10">
        <f>AVERAGE(N13:N22)</f>
        <v>3.7</v>
      </c>
      <c r="O24" s="10">
        <f>AVERAGE(O13:O22)</f>
        <v>3.6100000000000021</v>
      </c>
    </row>
    <row r="27" spans="1:15" x14ac:dyDescent="0.25">
      <c r="A27" t="s">
        <v>0</v>
      </c>
      <c r="B27" s="10">
        <f t="shared" ref="B27:E36" si="21">B13*100/180</f>
        <v>2.1666666666666696</v>
      </c>
      <c r="C27" s="10">
        <f t="shared" si="21"/>
        <v>0.27777777777777779</v>
      </c>
      <c r="D27" s="10">
        <f t="shared" si="21"/>
        <v>0.61111111111110794</v>
      </c>
      <c r="E27" s="10">
        <f t="shared" si="21"/>
        <v>3.9444444444444411</v>
      </c>
      <c r="F27" s="10"/>
      <c r="G27" s="10">
        <f t="shared" ref="G27:J36" si="22">G13*100/180</f>
        <v>23.722222222222218</v>
      </c>
      <c r="H27" s="10">
        <f t="shared" si="22"/>
        <v>21.444444444444443</v>
      </c>
      <c r="I27" s="10">
        <f t="shared" si="22"/>
        <v>23.277777777777782</v>
      </c>
      <c r="J27" s="10">
        <f t="shared" si="22"/>
        <v>27.777777777777779</v>
      </c>
      <c r="K27" s="10"/>
      <c r="L27" s="10">
        <f t="shared" ref="L27:O36" si="23">L13*100/180</f>
        <v>4.8888888888888955</v>
      </c>
      <c r="M27" s="10">
        <f t="shared" si="23"/>
        <v>3.0555555555555554</v>
      </c>
      <c r="N27" s="10">
        <f t="shared" si="23"/>
        <v>4.4444444444444446</v>
      </c>
      <c r="O27" s="10">
        <f t="shared" si="23"/>
        <v>3.0000000000000031</v>
      </c>
    </row>
    <row r="28" spans="1:15" x14ac:dyDescent="0.25">
      <c r="B28" s="10">
        <f t="shared" si="21"/>
        <v>2.5</v>
      </c>
      <c r="C28" s="10">
        <f t="shared" si="21"/>
        <v>0.83333333333333337</v>
      </c>
      <c r="D28" s="10">
        <f t="shared" si="21"/>
        <v>1.2777777777777841</v>
      </c>
      <c r="E28" s="10">
        <f t="shared" si="21"/>
        <v>2.1666666666666696</v>
      </c>
      <c r="G28" s="10">
        <f t="shared" si="22"/>
        <v>11.111111111111111</v>
      </c>
      <c r="H28" s="10">
        <f t="shared" si="22"/>
        <v>9.1111111111111143</v>
      </c>
      <c r="I28" s="10">
        <f t="shared" si="22"/>
        <v>10.77777777777778</v>
      </c>
      <c r="J28" s="10">
        <f t="shared" si="22"/>
        <v>14.944444444444446</v>
      </c>
      <c r="L28" s="10">
        <f t="shared" si="23"/>
        <v>0.94444444444443809</v>
      </c>
      <c r="M28" s="10">
        <f t="shared" si="23"/>
        <v>2.3888888888888951</v>
      </c>
      <c r="N28" s="10">
        <f t="shared" si="23"/>
        <v>1.5555555555555618</v>
      </c>
      <c r="O28" s="10">
        <f t="shared" si="23"/>
        <v>0.7777777777777809</v>
      </c>
    </row>
    <row r="29" spans="1:15" x14ac:dyDescent="0.25">
      <c r="B29" s="10">
        <f t="shared" si="21"/>
        <v>2.5555555555555522</v>
      </c>
      <c r="C29" s="10">
        <f t="shared" si="21"/>
        <v>1.0000000000000062</v>
      </c>
      <c r="D29" s="10">
        <f t="shared" si="21"/>
        <v>1.4999999999999938</v>
      </c>
      <c r="E29" s="10">
        <f t="shared" si="21"/>
        <v>1.5555555555555618</v>
      </c>
      <c r="G29" s="10">
        <f t="shared" si="22"/>
        <v>6.6111111111111134</v>
      </c>
      <c r="H29" s="10">
        <f t="shared" si="22"/>
        <v>4.6666666666666696</v>
      </c>
      <c r="I29" s="10">
        <f t="shared" si="22"/>
        <v>6.3333333333333357</v>
      </c>
      <c r="J29" s="10">
        <f t="shared" si="22"/>
        <v>10.277777777777779</v>
      </c>
      <c r="L29" s="10">
        <f t="shared" si="23"/>
        <v>0.38888888888888257</v>
      </c>
      <c r="M29" s="10">
        <f t="shared" si="23"/>
        <v>2.1111111111111174</v>
      </c>
      <c r="N29" s="10">
        <f t="shared" si="23"/>
        <v>0.61111111111110794</v>
      </c>
      <c r="O29" s="10">
        <f t="shared" si="23"/>
        <v>5.5555555555552395E-2</v>
      </c>
    </row>
    <row r="30" spans="1:15" x14ac:dyDescent="0.25">
      <c r="B30" s="10">
        <f t="shared" si="21"/>
        <v>3.0555555555555554</v>
      </c>
      <c r="C30" s="10">
        <f t="shared" si="21"/>
        <v>1.5555555555555618</v>
      </c>
      <c r="D30" s="10">
        <f t="shared" si="21"/>
        <v>2.1111111111111174</v>
      </c>
      <c r="E30" s="10">
        <f t="shared" si="21"/>
        <v>0.7777777777777809</v>
      </c>
      <c r="G30" s="10">
        <f t="shared" si="22"/>
        <v>3.8333333333333366</v>
      </c>
      <c r="H30" s="10">
        <f t="shared" si="22"/>
        <v>1.9444444444444444</v>
      </c>
      <c r="I30" s="10">
        <f t="shared" si="22"/>
        <v>3.5555555555555589</v>
      </c>
      <c r="J30" s="10">
        <f t="shared" si="22"/>
        <v>7.4444444444444473</v>
      </c>
      <c r="L30" s="10">
        <f t="shared" si="23"/>
        <v>1.5555555555555618</v>
      </c>
      <c r="M30" s="10">
        <f t="shared" si="23"/>
        <v>1.4999999999999938</v>
      </c>
      <c r="N30" s="10">
        <f t="shared" si="23"/>
        <v>0.38888888888888257</v>
      </c>
      <c r="O30" s="10">
        <f t="shared" si="23"/>
        <v>0.83333333333333337</v>
      </c>
    </row>
    <row r="31" spans="1:15" x14ac:dyDescent="0.25">
      <c r="B31" s="10">
        <f t="shared" si="21"/>
        <v>3.5555555555555589</v>
      </c>
      <c r="C31" s="10">
        <f t="shared" si="21"/>
        <v>2.0555555555555491</v>
      </c>
      <c r="D31" s="10">
        <f t="shared" si="21"/>
        <v>2.6111111111111049</v>
      </c>
      <c r="E31" s="10">
        <f t="shared" si="21"/>
        <v>0.11111111111110479</v>
      </c>
      <c r="G31" s="10">
        <f t="shared" si="22"/>
        <v>1.9999999999999969</v>
      </c>
      <c r="H31" s="10">
        <f t="shared" si="22"/>
        <v>0.16666666666667299</v>
      </c>
      <c r="I31" s="10">
        <f t="shared" si="22"/>
        <v>1.722222222222219</v>
      </c>
      <c r="J31" s="10">
        <f t="shared" si="22"/>
        <v>5.5555555555555554</v>
      </c>
      <c r="L31" s="10">
        <f t="shared" si="23"/>
        <v>2.1666666666666696</v>
      </c>
      <c r="M31" s="10">
        <f t="shared" si="23"/>
        <v>1.1666666666666634</v>
      </c>
      <c r="N31" s="10">
        <f t="shared" si="23"/>
        <v>0.88888888888888573</v>
      </c>
      <c r="O31" s="10">
        <f t="shared" si="23"/>
        <v>1.2777777777777841</v>
      </c>
    </row>
    <row r="32" spans="1:15" x14ac:dyDescent="0.25">
      <c r="B32" s="10">
        <f t="shared" si="21"/>
        <v>4.0555555555555616</v>
      </c>
      <c r="C32" s="10">
        <f t="shared" si="21"/>
        <v>2.6111111111111049</v>
      </c>
      <c r="D32" s="10">
        <f t="shared" si="21"/>
        <v>3.1111111111111081</v>
      </c>
      <c r="E32" s="10">
        <f t="shared" si="21"/>
        <v>0.50000000000000311</v>
      </c>
      <c r="G32" s="10">
        <f t="shared" si="22"/>
        <v>0.6666666666666603</v>
      </c>
      <c r="H32" s="10">
        <f t="shared" si="22"/>
        <v>1.1666666666666634</v>
      </c>
      <c r="I32" s="10">
        <f t="shared" si="22"/>
        <v>0.38888888888888257</v>
      </c>
      <c r="J32" s="10">
        <f t="shared" si="22"/>
        <v>4.166666666666667</v>
      </c>
      <c r="L32" s="10">
        <f t="shared" si="23"/>
        <v>3.0000000000000031</v>
      </c>
      <c r="M32" s="10">
        <f t="shared" si="23"/>
        <v>0.61111111111110794</v>
      </c>
      <c r="N32" s="10">
        <f t="shared" si="23"/>
        <v>1.6111111111111143</v>
      </c>
      <c r="O32" s="10">
        <f t="shared" si="23"/>
        <v>1.9444444444444444</v>
      </c>
    </row>
    <row r="33" spans="1:15" x14ac:dyDescent="0.25">
      <c r="B33" s="10">
        <f t="shared" si="21"/>
        <v>4.5555555555555491</v>
      </c>
      <c r="C33" s="10">
        <f t="shared" si="21"/>
        <v>3.1111111111111081</v>
      </c>
      <c r="D33" s="10">
        <f t="shared" si="21"/>
        <v>3.6111111111111112</v>
      </c>
      <c r="E33" s="10">
        <f t="shared" si="21"/>
        <v>1.0555555555555587</v>
      </c>
      <c r="G33" s="10">
        <f t="shared" si="22"/>
        <v>0.50000000000000311</v>
      </c>
      <c r="H33" s="10">
        <f t="shared" si="22"/>
        <v>2.3333333333333268</v>
      </c>
      <c r="I33" s="10">
        <f t="shared" si="22"/>
        <v>0.7777777777777809</v>
      </c>
      <c r="J33" s="10">
        <f t="shared" si="22"/>
        <v>3.0000000000000031</v>
      </c>
      <c r="L33" s="10">
        <f t="shared" si="23"/>
        <v>3.5000000000000062</v>
      </c>
      <c r="M33" s="10">
        <f t="shared" si="23"/>
        <v>0.22222222222222537</v>
      </c>
      <c r="N33" s="10">
        <f t="shared" si="23"/>
        <v>2.1666666666666696</v>
      </c>
      <c r="O33" s="10">
        <f t="shared" si="23"/>
        <v>2.4444444444444478</v>
      </c>
    </row>
    <row r="34" spans="1:15" x14ac:dyDescent="0.25">
      <c r="B34" s="10">
        <f t="shared" si="21"/>
        <v>4.7222222222222223</v>
      </c>
      <c r="C34" s="10">
        <f t="shared" si="21"/>
        <v>3.2777777777777808</v>
      </c>
      <c r="D34" s="10">
        <f t="shared" si="21"/>
        <v>3.8333333333333366</v>
      </c>
      <c r="E34" s="10">
        <f t="shared" si="21"/>
        <v>1.2777777777777841</v>
      </c>
      <c r="G34" s="10">
        <f t="shared" si="22"/>
        <v>1.3333333333333366</v>
      </c>
      <c r="H34" s="10">
        <f t="shared" si="22"/>
        <v>3.1111111111111081</v>
      </c>
      <c r="I34" s="10">
        <f t="shared" si="22"/>
        <v>1.6111111111111143</v>
      </c>
      <c r="J34" s="10">
        <f t="shared" si="22"/>
        <v>2.1666666666666696</v>
      </c>
      <c r="L34" s="10">
        <f t="shared" si="23"/>
        <v>3.9999999999999938</v>
      </c>
      <c r="M34" s="10">
        <f t="shared" si="23"/>
        <v>0.44444444444445075</v>
      </c>
      <c r="N34" s="10">
        <f t="shared" si="23"/>
        <v>2.5555555555555522</v>
      </c>
      <c r="O34" s="10">
        <f t="shared" si="23"/>
        <v>2.8333333333333304</v>
      </c>
    </row>
    <row r="35" spans="1:15" x14ac:dyDescent="0.25">
      <c r="B35" s="10">
        <f t="shared" si="21"/>
        <v>5</v>
      </c>
      <c r="C35" s="10">
        <f t="shared" si="21"/>
        <v>3.6111111111111112</v>
      </c>
      <c r="D35" s="10">
        <f t="shared" si="21"/>
        <v>4.1111111111111143</v>
      </c>
      <c r="E35" s="10">
        <f t="shared" si="21"/>
        <v>1.6111111111111143</v>
      </c>
      <c r="G35" s="10">
        <f t="shared" si="22"/>
        <v>1.6666666666666667</v>
      </c>
      <c r="H35" s="10">
        <f t="shared" si="22"/>
        <v>3.7222222222222161</v>
      </c>
      <c r="I35" s="10">
        <f t="shared" si="22"/>
        <v>2.2222222222222223</v>
      </c>
      <c r="J35" s="10">
        <f t="shared" si="22"/>
        <v>1.5555555555555618</v>
      </c>
      <c r="L35" s="10">
        <f t="shared" si="23"/>
        <v>4.2777777777777715</v>
      </c>
      <c r="M35" s="10">
        <f t="shared" si="23"/>
        <v>0.44444444444445075</v>
      </c>
      <c r="N35" s="10">
        <f t="shared" si="23"/>
        <v>2.8333333333333304</v>
      </c>
      <c r="O35" s="10">
        <f t="shared" si="23"/>
        <v>3.1111111111111081</v>
      </c>
    </row>
    <row r="36" spans="1:15" x14ac:dyDescent="0.25">
      <c r="B36" s="10">
        <f t="shared" si="21"/>
        <v>5.5555555555555554</v>
      </c>
      <c r="C36" s="10">
        <f t="shared" si="21"/>
        <v>4.166666666666667</v>
      </c>
      <c r="D36" s="10">
        <f t="shared" si="21"/>
        <v>4.6666666666666696</v>
      </c>
      <c r="E36" s="10">
        <f t="shared" si="21"/>
        <v>2.2222222222222223</v>
      </c>
      <c r="G36" s="10">
        <f t="shared" si="22"/>
        <v>2.7777777777777777</v>
      </c>
      <c r="H36" s="10">
        <f t="shared" si="22"/>
        <v>4.5555555555555491</v>
      </c>
      <c r="I36" s="10">
        <f t="shared" si="22"/>
        <v>3.0555555555555554</v>
      </c>
      <c r="J36" s="10">
        <f t="shared" si="22"/>
        <v>0.6666666666666603</v>
      </c>
      <c r="L36" s="10">
        <f t="shared" si="23"/>
        <v>4.9444444444444473</v>
      </c>
      <c r="M36" s="10">
        <f t="shared" si="23"/>
        <v>1.1111111111111112</v>
      </c>
      <c r="N36" s="10">
        <f t="shared" si="23"/>
        <v>3.5000000000000062</v>
      </c>
      <c r="O36" s="10">
        <f t="shared" si="23"/>
        <v>3.7777777777777839</v>
      </c>
    </row>
    <row r="37" spans="1:15" x14ac:dyDescent="0.25">
      <c r="A37" t="s">
        <v>3</v>
      </c>
      <c r="B37" s="10">
        <f>AVERAGE(B27:B36)</f>
        <v>3.772222222222223</v>
      </c>
      <c r="C37" s="10">
        <f>AVERAGE(C27:C36)</f>
        <v>2.2500000000000004</v>
      </c>
      <c r="D37" s="10">
        <f>AVERAGE(D27:D36)</f>
        <v>2.7444444444444449</v>
      </c>
      <c r="E37" s="10">
        <f>AVERAGE(E27:E36)</f>
        <v>1.5222222222222244</v>
      </c>
      <c r="F37" s="10"/>
      <c r="G37" s="10">
        <f>AVERAGE(G27:G36)</f>
        <v>5.4222222222222216</v>
      </c>
      <c r="H37" s="10">
        <f>AVERAGE(H27:H36)</f>
        <v>5.2222222222222205</v>
      </c>
      <c r="I37" s="10">
        <f>AVERAGE(I27:I36)</f>
        <v>5.3722222222222236</v>
      </c>
      <c r="J37" s="10">
        <f>AVERAGE(J27:J36)</f>
        <v>7.7555555555555573</v>
      </c>
      <c r="K37" s="10"/>
      <c r="L37" s="10">
        <f>AVERAGE(L27:L36)</f>
        <v>2.9666666666666668</v>
      </c>
      <c r="M37" s="10">
        <f>AVERAGE(M27:M36)</f>
        <v>1.3055555555555567</v>
      </c>
      <c r="N37" s="10">
        <f>AVERAGE(N27:N36)</f>
        <v>2.0555555555555558</v>
      </c>
      <c r="O37" s="10">
        <f>AVERAGE(O27:O36)</f>
        <v>2.0055555555555573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1F20-9E75-4177-B745-F3F55E704F07}">
  <dimension ref="B1:I6"/>
  <sheetViews>
    <sheetView workbookViewId="0">
      <selection activeCell="G6" sqref="G6:I6"/>
    </sheetView>
  </sheetViews>
  <sheetFormatPr defaultRowHeight="15" x14ac:dyDescent="0.25"/>
  <sheetData>
    <row r="1" spans="2:9" ht="15.75" thickBot="1" x14ac:dyDescent="0.3"/>
    <row r="2" spans="2:9" ht="17.25" thickTop="1" thickBot="1" x14ac:dyDescent="0.3">
      <c r="B2" s="11">
        <v>4.08E-4</v>
      </c>
      <c r="D2" s="14">
        <v>-1.743E-3</v>
      </c>
      <c r="G2" s="11">
        <v>4.2959999999999998E-2</v>
      </c>
      <c r="H2" s="17">
        <v>5.1389999999999998E-2</v>
      </c>
      <c r="I2" s="18">
        <v>4.9930000000000002E-2</v>
      </c>
    </row>
    <row r="3" spans="2:9" ht="16.5" thickBot="1" x14ac:dyDescent="0.3">
      <c r="B3" s="12">
        <v>3.8289999999999999E-3</v>
      </c>
      <c r="D3" s="15">
        <v>4.0489999999999996E-3</v>
      </c>
      <c r="G3" s="12">
        <v>4.1540000000000001E-2</v>
      </c>
      <c r="H3" s="19">
        <v>4.6920000000000003E-2</v>
      </c>
      <c r="I3" s="20">
        <v>4.8239999999999998E-2</v>
      </c>
    </row>
    <row r="4" spans="2:9" ht="16.5" thickBot="1" x14ac:dyDescent="0.3">
      <c r="B4" s="13">
        <v>2.8999999999999998E-3</v>
      </c>
      <c r="D4" s="16">
        <v>-9.2299999999999999E-4</v>
      </c>
      <c r="G4" s="13">
        <v>5.176E-2</v>
      </c>
      <c r="H4" s="21">
        <v>5.5199999999999999E-2</v>
      </c>
      <c r="I4" s="22">
        <v>2.793E-2</v>
      </c>
    </row>
    <row r="5" spans="2:9" ht="15.75" thickTop="1" x14ac:dyDescent="0.25"/>
    <row r="6" spans="2:9" x14ac:dyDescent="0.25">
      <c r="B6" s="23">
        <f>AVERAGE(B2:B4)</f>
        <v>2.379E-3</v>
      </c>
      <c r="C6" s="23"/>
      <c r="D6" s="23">
        <f t="shared" ref="D6:I6" si="0">AVERAGE(D2:D4)</f>
        <v>4.6099999999999998E-4</v>
      </c>
      <c r="E6" s="23"/>
      <c r="F6" s="23"/>
      <c r="G6" s="23">
        <f t="shared" si="0"/>
        <v>4.5419999999999995E-2</v>
      </c>
      <c r="H6" s="23">
        <f t="shared" si="0"/>
        <v>5.117E-2</v>
      </c>
      <c r="I6" s="23">
        <f t="shared" si="0"/>
        <v>4.2033333333333339E-2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1BDC-AD29-4CA4-97C2-4B1ED61A3FAC}">
  <dimension ref="A1:X53"/>
  <sheetViews>
    <sheetView tabSelected="1" topLeftCell="A7" zoomScale="115" zoomScaleNormal="115" workbookViewId="0">
      <selection activeCell="D19" sqref="D19"/>
    </sheetView>
  </sheetViews>
  <sheetFormatPr defaultRowHeight="15" x14ac:dyDescent="0.25"/>
  <sheetData>
    <row r="1" spans="1:24" x14ac:dyDescent="0.25">
      <c r="B1" t="s">
        <v>7</v>
      </c>
      <c r="C1" t="s">
        <v>7</v>
      </c>
      <c r="D1" t="s">
        <v>7</v>
      </c>
      <c r="E1" t="s">
        <v>8</v>
      </c>
      <c r="F1" t="s">
        <v>8</v>
      </c>
      <c r="G1" t="s">
        <v>8</v>
      </c>
      <c r="H1" t="s">
        <v>9</v>
      </c>
      <c r="I1" t="s">
        <v>9</v>
      </c>
      <c r="J1" t="s">
        <v>9</v>
      </c>
      <c r="M1" t="s">
        <v>7</v>
      </c>
      <c r="N1" t="s">
        <v>7</v>
      </c>
      <c r="O1" t="s">
        <v>7</v>
      </c>
      <c r="P1" t="s">
        <v>8</v>
      </c>
      <c r="Q1" t="s">
        <v>8</v>
      </c>
      <c r="R1" t="s">
        <v>8</v>
      </c>
      <c r="S1" t="s">
        <v>9</v>
      </c>
      <c r="T1" t="s">
        <v>9</v>
      </c>
      <c r="U1" t="s">
        <v>9</v>
      </c>
      <c r="V1" t="s">
        <v>9</v>
      </c>
      <c r="W1" t="s">
        <v>9</v>
      </c>
      <c r="X1" t="s">
        <v>9</v>
      </c>
    </row>
    <row r="2" spans="1:24" x14ac:dyDescent="0.25">
      <c r="A2" t="s">
        <v>4</v>
      </c>
      <c r="B2" t="s">
        <v>10</v>
      </c>
      <c r="C2" t="s">
        <v>11</v>
      </c>
      <c r="D2" t="s">
        <v>12</v>
      </c>
      <c r="E2" t="s">
        <v>10</v>
      </c>
      <c r="F2" t="s">
        <v>11</v>
      </c>
      <c r="G2" t="s">
        <v>12</v>
      </c>
      <c r="H2" t="s">
        <v>10</v>
      </c>
      <c r="I2" t="s">
        <v>11</v>
      </c>
      <c r="J2" t="s">
        <v>12</v>
      </c>
      <c r="M2" t="s">
        <v>10</v>
      </c>
      <c r="N2" t="s">
        <v>11</v>
      </c>
      <c r="O2" t="s">
        <v>12</v>
      </c>
      <c r="P2" t="s">
        <v>10</v>
      </c>
      <c r="Q2" t="s">
        <v>11</v>
      </c>
      <c r="R2" t="s">
        <v>12</v>
      </c>
      <c r="S2" t="s">
        <v>10</v>
      </c>
      <c r="T2" t="s">
        <v>11</v>
      </c>
      <c r="U2" t="s">
        <v>12</v>
      </c>
    </row>
    <row r="3" spans="1:24" x14ac:dyDescent="0.25">
      <c r="A3">
        <v>1</v>
      </c>
      <c r="B3" s="24">
        <v>1</v>
      </c>
      <c r="C3" s="24">
        <v>2</v>
      </c>
      <c r="D3" s="24">
        <v>3</v>
      </c>
      <c r="E3" s="24">
        <v>4</v>
      </c>
      <c r="F3" s="24">
        <v>5</v>
      </c>
      <c r="G3" s="24">
        <v>6</v>
      </c>
      <c r="H3" s="24">
        <v>7</v>
      </c>
      <c r="I3" s="24">
        <v>8</v>
      </c>
      <c r="J3" s="24">
        <v>9</v>
      </c>
      <c r="K3" s="25"/>
      <c r="L3" s="25"/>
      <c r="M3" s="24">
        <v>1</v>
      </c>
      <c r="N3" s="24">
        <v>2</v>
      </c>
      <c r="O3" s="24">
        <v>3</v>
      </c>
      <c r="P3" s="24">
        <v>4</v>
      </c>
      <c r="Q3" s="24">
        <v>5</v>
      </c>
      <c r="R3" s="24">
        <v>6</v>
      </c>
      <c r="S3" s="24">
        <v>7</v>
      </c>
      <c r="T3" s="24">
        <v>8</v>
      </c>
      <c r="U3" s="24">
        <v>9</v>
      </c>
      <c r="V3" s="24">
        <v>10</v>
      </c>
      <c r="W3" s="24">
        <v>11</v>
      </c>
      <c r="X3" s="24">
        <v>12</v>
      </c>
    </row>
    <row r="4" spans="1:24" x14ac:dyDescent="0.25">
      <c r="B4" s="26">
        <v>3.053529E-2</v>
      </c>
      <c r="C4" s="26">
        <v>-0.13050809999999999</v>
      </c>
      <c r="D4" s="26">
        <v>-0.16263320000000001</v>
      </c>
      <c r="E4" s="26">
        <v>0.99783639999999996</v>
      </c>
      <c r="F4" s="26">
        <v>0.9976661</v>
      </c>
      <c r="G4" s="26">
        <v>0.99035980000000001</v>
      </c>
      <c r="H4" s="26">
        <v>2.192823E-3</v>
      </c>
      <c r="I4" s="26">
        <v>-3.1810359999999999E-3</v>
      </c>
      <c r="J4" s="26">
        <v>2.3548900000000001E-3</v>
      </c>
      <c r="K4" s="25"/>
      <c r="L4" s="25"/>
      <c r="M4" s="26">
        <v>2.2086389999999998</v>
      </c>
      <c r="N4" s="26">
        <v>1.054514</v>
      </c>
      <c r="O4" s="26">
        <v>0.363871</v>
      </c>
      <c r="P4" s="26">
        <v>1.024726</v>
      </c>
      <c r="Q4" s="26">
        <v>1.0170790000000001</v>
      </c>
      <c r="R4" s="26">
        <v>1.0279180000000001</v>
      </c>
      <c r="S4" s="26">
        <v>-1.1669540000000001E-2</v>
      </c>
      <c r="T4" s="26">
        <v>-1.6052009999999999E-2</v>
      </c>
      <c r="U4" s="26">
        <v>-3.2297439999999997E-2</v>
      </c>
      <c r="V4" s="26">
        <v>3.686202E-3</v>
      </c>
      <c r="W4" s="26">
        <v>5.3143049999999997E-2</v>
      </c>
      <c r="X4" s="26">
        <v>-2.835256E-3</v>
      </c>
    </row>
    <row r="5" spans="1:24" x14ac:dyDescent="0.25">
      <c r="B5" s="26">
        <v>2.5905250000000001E-2</v>
      </c>
      <c r="C5" s="26">
        <v>-0.14829390000000001</v>
      </c>
      <c r="D5" s="26">
        <v>-0.17285739999999999</v>
      </c>
      <c r="E5" s="26">
        <v>0.99749390000000004</v>
      </c>
      <c r="F5" s="26">
        <v>0.99748619999999999</v>
      </c>
      <c r="G5" s="26">
        <v>0.99283520000000003</v>
      </c>
      <c r="H5" s="26">
        <v>2.5585810000000001E-4</v>
      </c>
      <c r="I5" s="26">
        <v>-2.6388969999999999E-3</v>
      </c>
      <c r="J5" s="26">
        <v>4.9619499999999995E-4</v>
      </c>
      <c r="K5" s="25"/>
      <c r="L5" s="25"/>
      <c r="M5" s="26">
        <v>2.2086389999999998</v>
      </c>
      <c r="N5" s="26">
        <v>1.054514</v>
      </c>
      <c r="O5" s="26">
        <v>0.363871</v>
      </c>
      <c r="P5" s="26">
        <v>1.022278</v>
      </c>
      <c r="Q5" s="26">
        <v>1.0172920000000001</v>
      </c>
      <c r="R5" s="26">
        <v>1.0265040000000001</v>
      </c>
      <c r="S5" s="26">
        <v>-1.012503E-2</v>
      </c>
      <c r="T5" s="26">
        <v>-1.429537E-2</v>
      </c>
      <c r="U5" s="26">
        <v>-3.0185130000000001E-2</v>
      </c>
      <c r="V5" s="26">
        <v>3.1716259999999999E-3</v>
      </c>
      <c r="W5" s="26">
        <v>4.8656850000000001E-2</v>
      </c>
      <c r="X5" s="26">
        <v>-4.6503070000000002E-3</v>
      </c>
    </row>
    <row r="6" spans="1:24" x14ac:dyDescent="0.25">
      <c r="B6" s="26">
        <v>2.3408689999999999E-2</v>
      </c>
      <c r="C6" s="26">
        <v>-0.1519354</v>
      </c>
      <c r="D6" s="26">
        <v>-0.15452450000000001</v>
      </c>
      <c r="E6" s="26">
        <v>0.99945899999999999</v>
      </c>
      <c r="F6" s="26">
        <v>0.99683949999999999</v>
      </c>
      <c r="G6" s="26">
        <v>0.99000900000000003</v>
      </c>
      <c r="H6" s="26">
        <v>8.3122790000000001E-4</v>
      </c>
      <c r="I6" s="26">
        <v>-2.5727200000000001E-3</v>
      </c>
      <c r="J6" s="26">
        <v>1.926376E-3</v>
      </c>
      <c r="K6" s="25"/>
      <c r="L6" s="25"/>
      <c r="M6" s="26">
        <v>2.2086389999999998</v>
      </c>
      <c r="N6" s="26">
        <v>1.054514</v>
      </c>
      <c r="O6" s="26">
        <v>0.363871</v>
      </c>
      <c r="P6" s="26">
        <v>1.02413</v>
      </c>
      <c r="Q6" s="26">
        <v>1.0177879999999999</v>
      </c>
      <c r="R6" s="26">
        <v>1.025514</v>
      </c>
      <c r="S6" s="26">
        <v>-1.013522E-2</v>
      </c>
      <c r="T6" s="26">
        <v>-1.4150390000000001E-2</v>
      </c>
      <c r="U6" s="26">
        <v>-2.8567490000000001E-2</v>
      </c>
      <c r="V6" s="26">
        <v>2.9123980000000001E-3</v>
      </c>
      <c r="W6" s="26">
        <v>4.8117430000000003E-2</v>
      </c>
      <c r="X6" s="26">
        <v>-3.24333E-3</v>
      </c>
    </row>
    <row r="7" spans="1:24" x14ac:dyDescent="0.2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25">
      <c r="B8" s="25">
        <f>AVERAGE(B4:B6)</f>
        <v>2.6616409999999997E-2</v>
      </c>
      <c r="C8" s="25">
        <f t="shared" ref="C8:X8" si="0">AVERAGE(C4:C6)</f>
        <v>-0.14357913333333333</v>
      </c>
      <c r="D8" s="25">
        <f t="shared" si="0"/>
        <v>-0.16333836666666665</v>
      </c>
      <c r="E8" s="25">
        <f t="shared" si="0"/>
        <v>0.99826309999999996</v>
      </c>
      <c r="F8" s="25">
        <f t="shared" si="0"/>
        <v>0.99733060000000007</v>
      </c>
      <c r="G8" s="25">
        <f t="shared" si="0"/>
        <v>0.99106799999999995</v>
      </c>
      <c r="H8" s="25">
        <f t="shared" si="0"/>
        <v>1.0933030000000001E-3</v>
      </c>
      <c r="I8" s="25">
        <f t="shared" si="0"/>
        <v>-2.7975510000000001E-3</v>
      </c>
      <c r="J8" s="25">
        <f t="shared" si="0"/>
        <v>1.5924870000000001E-3</v>
      </c>
      <c r="K8" s="25"/>
      <c r="L8" s="25"/>
      <c r="M8" s="25">
        <f t="shared" si="0"/>
        <v>2.2086389999999998</v>
      </c>
      <c r="N8" s="25">
        <f t="shared" si="0"/>
        <v>1.054514</v>
      </c>
      <c r="O8" s="25">
        <f t="shared" si="0"/>
        <v>0.363871</v>
      </c>
      <c r="P8" s="25">
        <f t="shared" si="0"/>
        <v>1.0237113333333334</v>
      </c>
      <c r="Q8" s="25">
        <f t="shared" si="0"/>
        <v>1.0173863333333333</v>
      </c>
      <c r="R8" s="25">
        <f t="shared" si="0"/>
        <v>1.0266453333333334</v>
      </c>
      <c r="S8" s="25">
        <f t="shared" si="0"/>
        <v>-1.0643263333333333E-2</v>
      </c>
      <c r="T8" s="25">
        <f t="shared" si="0"/>
        <v>-1.483259E-2</v>
      </c>
      <c r="U8" s="25">
        <f t="shared" si="0"/>
        <v>-3.0350020000000002E-2</v>
      </c>
      <c r="V8" s="25">
        <f t="shared" si="0"/>
        <v>3.256742E-3</v>
      </c>
      <c r="W8" s="25">
        <f t="shared" si="0"/>
        <v>4.9972443333333338E-2</v>
      </c>
      <c r="X8" s="25">
        <f t="shared" si="0"/>
        <v>-3.5762976666666667E-3</v>
      </c>
    </row>
    <row r="9" spans="1:24" x14ac:dyDescent="0.25">
      <c r="B9" s="24">
        <f>(B$8-B4)*100/B$8</f>
        <v>-14.723548367341815</v>
      </c>
      <c r="C9" s="24">
        <f t="shared" ref="C9:X11" si="1">(C$8-C4)*100/C$8</f>
        <v>9.1037137708497173</v>
      </c>
      <c r="D9" s="24">
        <f t="shared" si="1"/>
        <v>0.43172138981021951</v>
      </c>
      <c r="E9" s="24">
        <f t="shared" si="1"/>
        <v>4.2744242474754612E-2</v>
      </c>
      <c r="F9" s="24">
        <f t="shared" si="1"/>
        <v>-3.3639798076979997E-2</v>
      </c>
      <c r="G9" s="24">
        <f t="shared" si="1"/>
        <v>7.145826522498322E-2</v>
      </c>
      <c r="H9" s="24">
        <f t="shared" si="1"/>
        <v>-100.56864382517928</v>
      </c>
      <c r="I9" s="24">
        <f t="shared" si="1"/>
        <v>-13.707882358534295</v>
      </c>
      <c r="J9" s="24">
        <f t="shared" si="1"/>
        <v>-47.874990502277264</v>
      </c>
      <c r="K9" s="24"/>
      <c r="L9" s="24"/>
      <c r="M9" s="24">
        <f t="shared" si="1"/>
        <v>0</v>
      </c>
      <c r="N9" s="24">
        <f t="shared" si="1"/>
        <v>0</v>
      </c>
      <c r="O9" s="24">
        <f t="shared" si="1"/>
        <v>0</v>
      </c>
      <c r="P9" s="24">
        <f t="shared" si="1"/>
        <v>-9.9116482706382208E-2</v>
      </c>
      <c r="Q9" s="24">
        <f t="shared" si="1"/>
        <v>3.0208124806068274E-2</v>
      </c>
      <c r="R9" s="24">
        <f t="shared" si="1"/>
        <v>-0.12396361482836328</v>
      </c>
      <c r="S9" s="24">
        <f t="shared" si="1"/>
        <v>-9.6424999976511057</v>
      </c>
      <c r="T9" s="24">
        <f t="shared" si="1"/>
        <v>-8.2212209735454085</v>
      </c>
      <c r="U9" s="24">
        <f t="shared" si="1"/>
        <v>-6.4165361340783127</v>
      </c>
      <c r="V9" s="24">
        <f t="shared" si="1"/>
        <v>-13.18679834018169</v>
      </c>
      <c r="W9" s="24">
        <f t="shared" si="1"/>
        <v>-6.3447101145677927</v>
      </c>
      <c r="X9" s="24">
        <f t="shared" si="1"/>
        <v>20.720916873716611</v>
      </c>
    </row>
    <row r="10" spans="1:24" x14ac:dyDescent="0.25">
      <c r="B10" s="24">
        <f>(B$8-B5)*100/B$8</f>
        <v>2.6718855022145944</v>
      </c>
      <c r="C10" s="24">
        <f t="shared" si="1"/>
        <v>-3.2837408592799293</v>
      </c>
      <c r="D10" s="24">
        <f t="shared" si="1"/>
        <v>-5.8278000004489723</v>
      </c>
      <c r="E10" s="24">
        <f t="shared" si="1"/>
        <v>7.7053834805665397E-2</v>
      </c>
      <c r="F10" s="24">
        <f t="shared" si="1"/>
        <v>-1.5601647036591724E-2</v>
      </c>
      <c r="G10" s="24">
        <f t="shared" si="1"/>
        <v>-0.17831268893759863</v>
      </c>
      <c r="H10" s="24">
        <f t="shared" si="1"/>
        <v>76.597695240935039</v>
      </c>
      <c r="I10" s="24">
        <f t="shared" si="1"/>
        <v>5.6711745380155802</v>
      </c>
      <c r="J10" s="24">
        <f t="shared" si="1"/>
        <v>68.841503886687917</v>
      </c>
      <c r="K10" s="24"/>
      <c r="L10" s="24"/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0.14001342826461471</v>
      </c>
      <c r="Q10" s="24">
        <f t="shared" si="1"/>
        <v>9.2721250760392608E-3</v>
      </c>
      <c r="R10" s="24">
        <f t="shared" si="1"/>
        <v>1.3766519823787893E-2</v>
      </c>
      <c r="S10" s="24">
        <f t="shared" si="1"/>
        <v>4.8691206550371895</v>
      </c>
      <c r="T10" s="24">
        <f t="shared" si="1"/>
        <v>3.6218893665907284</v>
      </c>
      <c r="U10" s="24">
        <f t="shared" si="1"/>
        <v>0.54329453489652024</v>
      </c>
      <c r="V10" s="24">
        <f t="shared" si="1"/>
        <v>2.613532174178983</v>
      </c>
      <c r="W10" s="24">
        <f t="shared" si="1"/>
        <v>2.6326376010031733</v>
      </c>
      <c r="X10" s="24">
        <f t="shared" si="1"/>
        <v>-30.031318235721063</v>
      </c>
    </row>
    <row r="11" spans="1:24" x14ac:dyDescent="0.25">
      <c r="B11" s="24">
        <f>(B$8-B6)*100/B$8</f>
        <v>12.051662865127181</v>
      </c>
      <c r="C11" s="24">
        <f t="shared" si="1"/>
        <v>-5.8199729115697876</v>
      </c>
      <c r="D11" s="24">
        <f t="shared" si="1"/>
        <v>5.3960786106387184</v>
      </c>
      <c r="E11" s="24">
        <f t="shared" si="1"/>
        <v>-0.11979807728043114</v>
      </c>
      <c r="F11" s="24">
        <f t="shared" si="1"/>
        <v>4.9241445113593983E-2</v>
      </c>
      <c r="G11" s="24">
        <f t="shared" si="1"/>
        <v>0.106854423712593</v>
      </c>
      <c r="H11" s="24">
        <f t="shared" si="1"/>
        <v>23.970948584244265</v>
      </c>
      <c r="I11" s="24">
        <f t="shared" si="1"/>
        <v>8.0367078205187319</v>
      </c>
      <c r="J11" s="24">
        <f t="shared" si="1"/>
        <v>-20.966513384410671</v>
      </c>
      <c r="K11" s="24"/>
      <c r="L11" s="24"/>
      <c r="M11" s="24">
        <f t="shared" si="1"/>
        <v>0</v>
      </c>
      <c r="N11" s="24">
        <f t="shared" si="1"/>
        <v>0</v>
      </c>
      <c r="O11" s="24">
        <f t="shared" si="1"/>
        <v>0</v>
      </c>
      <c r="P11" s="24">
        <f t="shared" si="1"/>
        <v>-4.0896945558210801E-2</v>
      </c>
      <c r="Q11" s="24">
        <f t="shared" si="1"/>
        <v>-3.9480249882129358E-2</v>
      </c>
      <c r="R11" s="24">
        <f t="shared" si="1"/>
        <v>0.11019709500457539</v>
      </c>
      <c r="S11" s="24">
        <f t="shared" si="1"/>
        <v>4.7733793426138993</v>
      </c>
      <c r="T11" s="24">
        <f t="shared" si="1"/>
        <v>4.5993316069546806</v>
      </c>
      <c r="U11" s="24">
        <f t="shared" si="1"/>
        <v>5.8732415991818154</v>
      </c>
      <c r="V11" s="24">
        <f t="shared" si="1"/>
        <v>10.573266166002707</v>
      </c>
      <c r="W11" s="24">
        <f t="shared" si="1"/>
        <v>3.7120725135646468</v>
      </c>
      <c r="X11" s="24">
        <f>(X$8-X6)*100/X$8</f>
        <v>9.3104013620044501</v>
      </c>
    </row>
    <row r="12" spans="1:24" x14ac:dyDescent="0.2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25">
      <c r="A13" t="s">
        <v>13</v>
      </c>
      <c r="B13" s="25" cm="1">
        <f t="array" ref="B13">AVERAGE(ABS(B9:B11))</f>
        <v>9.8156989115611974</v>
      </c>
      <c r="C13" s="25" cm="1">
        <f t="array" ref="C13">AVERAGE(ABS(C9:C11))</f>
        <v>6.0691425138998119</v>
      </c>
      <c r="D13" s="25" cm="1">
        <f t="array" ref="D13">AVERAGE(ABS(D9:D11))</f>
        <v>3.885200000299303</v>
      </c>
      <c r="E13" s="25" cm="1">
        <f t="array" ref="E13">AVERAGE(ABS(E9:E11))</f>
        <v>7.986538485361705E-2</v>
      </c>
      <c r="F13" s="25" cm="1">
        <f t="array" ref="F13">AVERAGE(ABS(F9:F11))</f>
        <v>3.2827630075721904E-2</v>
      </c>
      <c r="G13" s="25" cm="1">
        <f t="array" ref="G13">AVERAGE(ABS(G9:G11))</f>
        <v>0.11887512595839161</v>
      </c>
      <c r="H13" s="25" cm="1">
        <f t="array" ref="H13">AVERAGE(ABS(H9:H11))</f>
        <v>67.045762550119534</v>
      </c>
      <c r="I13" s="25" cm="1">
        <f t="array" ref="I13">AVERAGE(ABS(I9:I11))</f>
        <v>9.1385882390228694</v>
      </c>
      <c r="J13" s="25" cm="1">
        <f t="array" ref="J13">AVERAGE(ABS(J9:J11))</f>
        <v>45.894335924458609</v>
      </c>
      <c r="K13" s="25"/>
      <c r="L13" s="25"/>
      <c r="M13" s="25" cm="1">
        <f t="array" ref="M13">AVERAGE(ABS(M9:M11))</f>
        <v>0</v>
      </c>
      <c r="N13" s="25" cm="1">
        <f t="array" ref="N13">AVERAGE(ABS(N9:N11))</f>
        <v>0</v>
      </c>
      <c r="O13" s="25" cm="1">
        <f t="array" ref="O13">AVERAGE(ABS(O9:O11))</f>
        <v>0</v>
      </c>
      <c r="P13" s="25" cm="1">
        <f t="array" ref="P13">AVERAGE(ABS(P9:P11))</f>
        <v>9.3342285509735903E-2</v>
      </c>
      <c r="Q13" s="25" cm="1">
        <f t="array" ref="Q13">AVERAGE(ABS(Q9:Q11))</f>
        <v>2.6320166588078963E-2</v>
      </c>
      <c r="R13" s="25" cm="1">
        <f t="array" ref="R13">AVERAGE(ABS(R9:R11))</f>
        <v>8.2642409885575516E-2</v>
      </c>
      <c r="S13" s="25" cm="1">
        <f t="array" ref="S13">AVERAGE(ABS(S9:S11))</f>
        <v>6.4283333317673979</v>
      </c>
      <c r="T13" s="25" cm="1">
        <f t="array" ref="T13">AVERAGE(ABS(T9:T11))</f>
        <v>5.480813982363606</v>
      </c>
      <c r="U13" s="25" cm="1">
        <f t="array" ref="U13">AVERAGE(ABS(U9:U11))</f>
        <v>4.2776907560522162</v>
      </c>
      <c r="V13" s="25" cm="1">
        <f t="array" ref="V13">AVERAGE(ABS(V9:V11))</f>
        <v>8.7911988934544603</v>
      </c>
      <c r="W13" s="25" cm="1">
        <f t="array" ref="W13">AVERAGE(ABS(W9:W11))</f>
        <v>4.2298067430452049</v>
      </c>
    </row>
    <row r="16" spans="1:24" x14ac:dyDescent="0.25">
      <c r="A16" t="s">
        <v>5</v>
      </c>
      <c r="B16" s="24">
        <v>1</v>
      </c>
      <c r="C16" s="24">
        <v>2</v>
      </c>
      <c r="D16" s="24">
        <v>3</v>
      </c>
      <c r="E16" s="24">
        <v>4</v>
      </c>
      <c r="F16" s="24">
        <v>5</v>
      </c>
      <c r="G16" s="24">
        <v>6</v>
      </c>
      <c r="H16" s="24">
        <v>7</v>
      </c>
      <c r="I16" s="24">
        <v>8</v>
      </c>
      <c r="J16" s="24">
        <v>9</v>
      </c>
      <c r="K16" s="25"/>
      <c r="L16" s="25"/>
      <c r="M16" s="24">
        <v>1</v>
      </c>
      <c r="N16" s="24">
        <v>2</v>
      </c>
      <c r="O16" s="24">
        <v>3</v>
      </c>
      <c r="P16" s="24">
        <v>4</v>
      </c>
      <c r="Q16" s="24">
        <v>5</v>
      </c>
      <c r="R16" s="24">
        <v>6</v>
      </c>
      <c r="S16" s="24">
        <v>7</v>
      </c>
      <c r="T16" s="24">
        <v>8</v>
      </c>
      <c r="U16" s="24">
        <v>9</v>
      </c>
      <c r="V16" s="24">
        <v>10</v>
      </c>
      <c r="W16" s="24">
        <v>11</v>
      </c>
      <c r="X16" s="24">
        <v>12</v>
      </c>
    </row>
    <row r="17" spans="1:24" x14ac:dyDescent="0.25">
      <c r="B17" s="26">
        <v>7.729054E-3</v>
      </c>
      <c r="C17" s="26">
        <v>-0.13174620000000001</v>
      </c>
      <c r="D17" s="26">
        <v>-0.128745</v>
      </c>
      <c r="E17" s="26">
        <v>0.99699519999999997</v>
      </c>
      <c r="F17" s="26">
        <v>0.9977201</v>
      </c>
      <c r="G17" s="26">
        <v>0.99052899999999999</v>
      </c>
      <c r="H17" s="26">
        <v>1.639883E-3</v>
      </c>
      <c r="I17" s="26">
        <v>-2.1932029999999999E-3</v>
      </c>
      <c r="J17" s="26">
        <v>-2.2154969999999999E-3</v>
      </c>
      <c r="K17" s="25"/>
      <c r="L17" s="25"/>
      <c r="M17" s="26">
        <v>2.2086389999999998</v>
      </c>
      <c r="N17" s="26">
        <v>1.054514</v>
      </c>
      <c r="O17" s="26">
        <v>0.363871</v>
      </c>
      <c r="P17" s="26">
        <v>1.003965</v>
      </c>
      <c r="Q17" s="26">
        <v>1.0227710000000001</v>
      </c>
      <c r="R17" s="26">
        <v>0.98630419999999996</v>
      </c>
      <c r="S17" s="26">
        <v>-9.0745489999999995E-3</v>
      </c>
      <c r="T17" s="26">
        <v>4.6844139999999999E-2</v>
      </c>
      <c r="U17" s="26">
        <v>-1.8414099999999999E-3</v>
      </c>
      <c r="V17" s="26">
        <v>1.319066E-2</v>
      </c>
      <c r="W17" s="26">
        <v>2.8318220000000002E-2</v>
      </c>
      <c r="X17" s="26">
        <v>7.7535309999999996E-2</v>
      </c>
    </row>
    <row r="18" spans="1:24" x14ac:dyDescent="0.25">
      <c r="B18" s="26">
        <v>1.7386159999999999E-3</v>
      </c>
      <c r="C18" s="26">
        <v>-0.13777120000000001</v>
      </c>
      <c r="D18" s="26">
        <v>-0.14862890000000001</v>
      </c>
      <c r="E18" s="26">
        <v>0.99816020000000005</v>
      </c>
      <c r="F18" s="26">
        <v>0.99756</v>
      </c>
      <c r="G18" s="26">
        <v>0.99026899999999995</v>
      </c>
      <c r="H18" s="26">
        <v>1.4586250000000001E-3</v>
      </c>
      <c r="I18" s="26">
        <v>-3.589662E-3</v>
      </c>
      <c r="J18" s="26">
        <v>8.1516659999999997E-4</v>
      </c>
      <c r="K18" s="25"/>
      <c r="L18" s="25"/>
      <c r="M18" s="26">
        <v>2.2086389999999998</v>
      </c>
      <c r="N18" s="26">
        <v>1.054514</v>
      </c>
      <c r="O18" s="26">
        <v>0.363871</v>
      </c>
      <c r="P18" s="26">
        <v>1.0044010000000001</v>
      </c>
      <c r="Q18" s="26">
        <v>1.000216</v>
      </c>
      <c r="R18" s="26">
        <v>1.009136</v>
      </c>
      <c r="S18" s="26">
        <v>-1.0350730000000001E-2</v>
      </c>
      <c r="T18" s="26">
        <v>-8.6510579999999997E-3</v>
      </c>
      <c r="U18" s="26">
        <v>-5.7199549999999997E-3</v>
      </c>
      <c r="V18" s="26">
        <v>-1.3067240000000001E-2</v>
      </c>
      <c r="W18" s="26">
        <v>1.8782779999999999E-3</v>
      </c>
      <c r="X18" s="26">
        <v>1.3116539999999999E-2</v>
      </c>
    </row>
    <row r="19" spans="1:24" x14ac:dyDescent="0.25">
      <c r="B19" s="26">
        <v>1.946558E-2</v>
      </c>
      <c r="C19" s="26">
        <v>-0.1384986</v>
      </c>
      <c r="D19" s="26">
        <v>-0.17708209999999999</v>
      </c>
      <c r="E19" s="26">
        <v>0.99684099999999998</v>
      </c>
      <c r="F19" s="26">
        <v>0.99796940000000001</v>
      </c>
      <c r="G19" s="26">
        <v>0.99245559999999999</v>
      </c>
      <c r="H19" s="26">
        <v>3.849031E-4</v>
      </c>
      <c r="I19" s="26">
        <v>-2.472087E-3</v>
      </c>
      <c r="J19" s="26">
        <v>-1.7935250000000001E-4</v>
      </c>
      <c r="K19" s="25"/>
      <c r="L19" s="25"/>
      <c r="M19" s="26">
        <v>2.2086389999999998</v>
      </c>
      <c r="N19" s="26">
        <v>1.054514</v>
      </c>
      <c r="O19" s="26">
        <v>0.363871</v>
      </c>
      <c r="P19" s="26">
        <v>1.001536</v>
      </c>
      <c r="Q19" s="26">
        <v>0.99323870000000003</v>
      </c>
      <c r="R19" s="26">
        <v>1.0131270000000001</v>
      </c>
      <c r="S19" s="26">
        <v>-1.184647E-2</v>
      </c>
      <c r="T19" s="26">
        <v>-7.7238610000000003E-3</v>
      </c>
      <c r="U19" s="26">
        <v>-7.0808499999999996E-3</v>
      </c>
      <c r="V19" s="26">
        <v>-1.510011E-2</v>
      </c>
      <c r="W19" s="26">
        <v>1.543347E-3</v>
      </c>
      <c r="X19" s="26">
        <v>1.8360029999999999E-2</v>
      </c>
    </row>
    <row r="20" spans="1:24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25">
      <c r="B21" s="25">
        <f t="shared" ref="B21:J21" si="2">AVERAGE(B17:B19)</f>
        <v>9.6444166666666675E-3</v>
      </c>
      <c r="C21" s="25">
        <f t="shared" si="2"/>
        <v>-0.13600533333333334</v>
      </c>
      <c r="D21" s="25">
        <f t="shared" si="2"/>
        <v>-0.15148533333333333</v>
      </c>
      <c r="E21" s="25">
        <f t="shared" si="2"/>
        <v>0.99733213333333337</v>
      </c>
      <c r="F21" s="25">
        <f t="shared" si="2"/>
        <v>0.99774983333333334</v>
      </c>
      <c r="G21" s="25">
        <f t="shared" si="2"/>
        <v>0.99108453333333335</v>
      </c>
      <c r="H21" s="25">
        <f t="shared" si="2"/>
        <v>1.1611370333333333E-3</v>
      </c>
      <c r="I21" s="25">
        <f t="shared" si="2"/>
        <v>-2.7516506666666663E-3</v>
      </c>
      <c r="J21" s="25">
        <f t="shared" si="2"/>
        <v>-5.2656096666666666E-4</v>
      </c>
      <c r="K21" s="25"/>
      <c r="L21" s="25"/>
      <c r="M21" s="25">
        <f t="shared" ref="M21:X21" si="3">AVERAGE(M17:M19)</f>
        <v>2.2086389999999998</v>
      </c>
      <c r="N21" s="25">
        <f t="shared" si="3"/>
        <v>1.054514</v>
      </c>
      <c r="O21" s="25">
        <f t="shared" si="3"/>
        <v>0.363871</v>
      </c>
      <c r="P21" s="25">
        <f t="shared" si="3"/>
        <v>1.0033006666666668</v>
      </c>
      <c r="Q21" s="25">
        <f t="shared" si="3"/>
        <v>1.0054085666666668</v>
      </c>
      <c r="R21" s="25">
        <f t="shared" si="3"/>
        <v>1.0028557333333332</v>
      </c>
      <c r="S21" s="25">
        <f t="shared" si="3"/>
        <v>-1.0423916333333333E-2</v>
      </c>
      <c r="T21" s="25">
        <f t="shared" si="3"/>
        <v>1.0156407000000001E-2</v>
      </c>
      <c r="U21" s="25">
        <f t="shared" si="3"/>
        <v>-4.8807383333333331E-3</v>
      </c>
      <c r="V21" s="25">
        <f t="shared" si="3"/>
        <v>-4.9922300000000003E-3</v>
      </c>
      <c r="W21" s="25">
        <f t="shared" si="3"/>
        <v>1.0579948333333334E-2</v>
      </c>
      <c r="X21" s="25">
        <f t="shared" si="3"/>
        <v>3.6337293333333333E-2</v>
      </c>
    </row>
    <row r="22" spans="1:24" x14ac:dyDescent="0.25">
      <c r="B22" s="24">
        <f t="shared" ref="B22:J22" si="4">(B$21-B17)*100/B$21</f>
        <v>19.85980835198259</v>
      </c>
      <c r="C22" s="24">
        <f t="shared" si="4"/>
        <v>3.1315928787106371</v>
      </c>
      <c r="D22" s="24">
        <f t="shared" si="4"/>
        <v>15.011574277817877</v>
      </c>
      <c r="E22" s="24">
        <f t="shared" si="4"/>
        <v>3.3783463108451615E-2</v>
      </c>
      <c r="F22" s="24">
        <f t="shared" si="4"/>
        <v>2.9800389175714051E-3</v>
      </c>
      <c r="G22" s="24">
        <f t="shared" si="4"/>
        <v>5.6053072633968172E-2</v>
      </c>
      <c r="H22" s="24">
        <f t="shared" si="4"/>
        <v>-41.23078955567432</v>
      </c>
      <c r="I22" s="24">
        <f t="shared" si="4"/>
        <v>20.295005955213302</v>
      </c>
      <c r="J22" s="24">
        <f t="shared" si="4"/>
        <v>-320.74842995388508</v>
      </c>
      <c r="K22" s="24"/>
      <c r="L22" s="24"/>
      <c r="M22" s="24">
        <f t="shared" ref="M22:X22" si="5">(M$21-M17)*100/M$21</f>
        <v>0</v>
      </c>
      <c r="N22" s="24">
        <f t="shared" si="5"/>
        <v>0</v>
      </c>
      <c r="O22" s="24">
        <f t="shared" si="5"/>
        <v>0</v>
      </c>
      <c r="P22" s="24">
        <f t="shared" si="5"/>
        <v>-6.6214780414759922E-2</v>
      </c>
      <c r="Q22" s="24">
        <f t="shared" si="5"/>
        <v>-1.7269032619143834</v>
      </c>
      <c r="R22" s="24">
        <f t="shared" si="5"/>
        <v>1.6504401164780291</v>
      </c>
      <c r="S22" s="24">
        <f t="shared" si="5"/>
        <v>12.944917151899633</v>
      </c>
      <c r="T22" s="24">
        <f t="shared" si="5"/>
        <v>-361.22747936351897</v>
      </c>
      <c r="U22" s="24">
        <f t="shared" si="5"/>
        <v>62.271896704153029</v>
      </c>
      <c r="V22" s="24">
        <f t="shared" si="5"/>
        <v>364.22380379109137</v>
      </c>
      <c r="W22" s="24">
        <f t="shared" si="5"/>
        <v>-167.65934112154611</v>
      </c>
      <c r="X22" s="24">
        <f t="shared" si="5"/>
        <v>-113.37667967931569</v>
      </c>
    </row>
    <row r="23" spans="1:24" x14ac:dyDescent="0.25">
      <c r="B23" s="24">
        <f t="shared" ref="B23:J23" si="6">(B$21-B18)*100/B$21</f>
        <v>81.972823654446003</v>
      </c>
      <c r="C23" s="24">
        <f t="shared" si="6"/>
        <v>-1.2983804556684084</v>
      </c>
      <c r="D23" s="24">
        <f t="shared" si="6"/>
        <v>1.8856170894431967</v>
      </c>
      <c r="E23" s="24">
        <f t="shared" si="6"/>
        <v>-8.3028174766522023E-2</v>
      </c>
      <c r="F23" s="24">
        <f t="shared" si="6"/>
        <v>1.902614533135312E-2</v>
      </c>
      <c r="G23" s="24">
        <f t="shared" si="6"/>
        <v>8.2286959982161886E-2</v>
      </c>
      <c r="H23" s="24">
        <f t="shared" si="6"/>
        <v>-25.620401221090454</v>
      </c>
      <c r="I23" s="24">
        <f t="shared" si="6"/>
        <v>-30.454859095485972</v>
      </c>
      <c r="J23" s="24">
        <f t="shared" si="6"/>
        <v>254.80953804083086</v>
      </c>
      <c r="K23" s="24"/>
      <c r="L23" s="24"/>
      <c r="M23" s="24">
        <f t="shared" ref="M23:X23" si="7">(M$21-M18)*100/M$21</f>
        <v>0</v>
      </c>
      <c r="N23" s="24">
        <f t="shared" si="7"/>
        <v>0</v>
      </c>
      <c r="O23" s="24">
        <f t="shared" si="7"/>
        <v>0</v>
      </c>
      <c r="P23" s="24">
        <f t="shared" si="7"/>
        <v>-0.10967134478131765</v>
      </c>
      <c r="Q23" s="24">
        <f t="shared" si="7"/>
        <v>0.51646334025999308</v>
      </c>
      <c r="R23" s="24">
        <f t="shared" si="7"/>
        <v>-0.62623829708707979</v>
      </c>
      <c r="S23" s="24">
        <f t="shared" si="7"/>
        <v>0.7021001607553119</v>
      </c>
      <c r="T23" s="24">
        <f t="shared" si="7"/>
        <v>185.17833127404211</v>
      </c>
      <c r="U23" s="24">
        <f t="shared" si="7"/>
        <v>-17.194461357110246</v>
      </c>
      <c r="V23" s="24">
        <f t="shared" si="7"/>
        <v>-161.75156192723492</v>
      </c>
      <c r="W23" s="24">
        <f t="shared" si="7"/>
        <v>82.246813114556801</v>
      </c>
      <c r="X23" s="24">
        <f t="shared" si="7"/>
        <v>63.903365394670743</v>
      </c>
    </row>
    <row r="24" spans="1:24" x14ac:dyDescent="0.25">
      <c r="B24" s="24">
        <f t="shared" ref="B24:J24" si="8">(B$21-B19)*100/B$21</f>
        <v>-101.83263200642857</v>
      </c>
      <c r="C24" s="24">
        <f t="shared" si="8"/>
        <v>-1.8332124230422289</v>
      </c>
      <c r="D24" s="24">
        <f t="shared" si="8"/>
        <v>-16.897191367261073</v>
      </c>
      <c r="E24" s="24">
        <f t="shared" si="8"/>
        <v>4.9244711658081544E-2</v>
      </c>
      <c r="F24" s="24">
        <f t="shared" si="8"/>
        <v>-2.2006184248924525E-2</v>
      </c>
      <c r="G24" s="24">
        <f t="shared" si="8"/>
        <v>-0.13834003261611885</v>
      </c>
      <c r="H24" s="24">
        <f t="shared" si="8"/>
        <v>66.851190776764753</v>
      </c>
      <c r="I24" s="24">
        <f t="shared" si="8"/>
        <v>10.15985314027264</v>
      </c>
      <c r="J24" s="24">
        <f t="shared" si="8"/>
        <v>65.938891913054192</v>
      </c>
      <c r="K24" s="24"/>
      <c r="L24" s="24"/>
      <c r="M24" s="24">
        <f t="shared" ref="M24:X24" si="9">(M$21-M19)*100/M$21</f>
        <v>0</v>
      </c>
      <c r="N24" s="24">
        <f t="shared" si="9"/>
        <v>0</v>
      </c>
      <c r="O24" s="24">
        <f t="shared" si="9"/>
        <v>0</v>
      </c>
      <c r="P24" s="24">
        <f t="shared" si="9"/>
        <v>0.17588612519612185</v>
      </c>
      <c r="Q24" s="24">
        <f t="shared" si="9"/>
        <v>1.2104399216544124</v>
      </c>
      <c r="R24" s="24">
        <f t="shared" si="9"/>
        <v>-1.0242018193909936</v>
      </c>
      <c r="S24" s="24">
        <f t="shared" si="9"/>
        <v>-13.647017312654944</v>
      </c>
      <c r="T24" s="24">
        <f t="shared" si="9"/>
        <v>176.04914808947692</v>
      </c>
      <c r="U24" s="24">
        <f t="shared" si="9"/>
        <v>-45.07743534704278</v>
      </c>
      <c r="V24" s="24">
        <f t="shared" si="9"/>
        <v>-202.47224186385642</v>
      </c>
      <c r="W24" s="24">
        <f t="shared" si="9"/>
        <v>85.412528006989319</v>
      </c>
      <c r="X24" s="24">
        <f t="shared" si="9"/>
        <v>49.473314284644943</v>
      </c>
    </row>
    <row r="25" spans="1:24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25">
      <c r="A26" t="s">
        <v>13</v>
      </c>
      <c r="B26" s="25" cm="1">
        <f t="array" ref="B26">AVERAGE(ABS(B22:B24))</f>
        <v>67.88842133761905</v>
      </c>
      <c r="C26" s="25" cm="1">
        <f t="array" ref="C26">AVERAGE(ABS(C22:C24))</f>
        <v>2.0877285858070915</v>
      </c>
      <c r="D26" s="25" cm="1">
        <f t="array" ref="D26">AVERAGE(ABS(D22:D24))</f>
        <v>11.264794244840715</v>
      </c>
      <c r="E26" s="25" cm="1">
        <f t="array" ref="E26">AVERAGE(ABS(E22:E24))</f>
        <v>5.5352116511018401E-2</v>
      </c>
      <c r="F26" s="25" cm="1">
        <f t="array" ref="F26">AVERAGE(ABS(F22:F24))</f>
        <v>1.4670789499283016E-2</v>
      </c>
      <c r="G26" s="25" cm="1">
        <f t="array" ref="G26">AVERAGE(ABS(G22:G24))</f>
        <v>9.2226688410749644E-2</v>
      </c>
      <c r="H26" s="25" cm="1">
        <f t="array" ref="H26">AVERAGE(ABS(H22:H24))</f>
        <v>44.56746051784318</v>
      </c>
      <c r="I26" s="25" cm="1">
        <f t="array" ref="I26">AVERAGE(ABS(I22:I24))</f>
        <v>20.303239396990637</v>
      </c>
      <c r="J26" s="25" cm="1">
        <f t="array" ref="J26">AVERAGE(ABS(J22:J24))</f>
        <v>213.8322866359234</v>
      </c>
      <c r="K26" s="25"/>
      <c r="L26" t="s">
        <v>13</v>
      </c>
      <c r="M26" s="25" cm="1">
        <f t="array" ref="M26">AVERAGE(ABS(M22:M24))</f>
        <v>0</v>
      </c>
      <c r="N26" s="25" cm="1">
        <f t="array" ref="N26">AVERAGE(ABS(N22:N24))</f>
        <v>0</v>
      </c>
      <c r="O26" s="25" cm="1">
        <f t="array" ref="O26">AVERAGE(ABS(O22:O24))</f>
        <v>0</v>
      </c>
      <c r="P26" s="25" cm="1">
        <f t="array" ref="P26">AVERAGE(ABS(P22:P24))</f>
        <v>0.1172574167973998</v>
      </c>
      <c r="Q26" s="25" cm="1">
        <f t="array" ref="Q26">AVERAGE(ABS(Q22:Q24))</f>
        <v>1.1512688412762631</v>
      </c>
      <c r="R26" s="25" cm="1">
        <f t="array" ref="R26">AVERAGE(ABS(R22:R24))</f>
        <v>1.1002934109853675</v>
      </c>
      <c r="S26" s="25" cm="1">
        <f t="array" ref="S26">AVERAGE(ABS(S22:S24))</f>
        <v>9.0980115417699636</v>
      </c>
      <c r="T26" s="25" cm="1">
        <f t="array" ref="T26">AVERAGE(ABS(T22:T24))</f>
        <v>240.81831957567934</v>
      </c>
      <c r="U26" s="25" cm="1">
        <f t="array" ref="U26">AVERAGE(ABS(U22:U24))</f>
        <v>41.514597802768684</v>
      </c>
      <c r="V26" s="25" cm="1">
        <f t="array" ref="V26">AVERAGE(ABS(V22:V24))</f>
        <v>242.81586919406092</v>
      </c>
      <c r="W26" s="25" cm="1">
        <f t="array" ref="W26">AVERAGE(ABS(W22:W24))</f>
        <v>111.77289408103074</v>
      </c>
      <c r="X26" s="25" cm="1">
        <f t="array" ref="X26">AVERAGE(ABS(X22:X24))</f>
        <v>75.584453119543795</v>
      </c>
    </row>
    <row r="27" spans="1:24" x14ac:dyDescent="0.25">
      <c r="K27" s="25"/>
    </row>
    <row r="28" spans="1:24" x14ac:dyDescent="0.25">
      <c r="K28" s="25"/>
    </row>
    <row r="29" spans="1:24" x14ac:dyDescent="0.25">
      <c r="A29" t="s">
        <v>6</v>
      </c>
      <c r="B29" s="24">
        <v>1</v>
      </c>
      <c r="C29" s="24">
        <v>2</v>
      </c>
      <c r="D29" s="24">
        <v>3</v>
      </c>
      <c r="E29" s="24">
        <v>4</v>
      </c>
      <c r="F29" s="24">
        <v>5</v>
      </c>
      <c r="G29" s="24">
        <v>6</v>
      </c>
      <c r="H29" s="24">
        <v>7</v>
      </c>
      <c r="I29" s="24">
        <v>8</v>
      </c>
      <c r="J29" s="24">
        <v>9</v>
      </c>
      <c r="K29" s="25"/>
      <c r="L29" s="25"/>
      <c r="M29" s="24">
        <v>1</v>
      </c>
      <c r="N29" s="24">
        <v>2</v>
      </c>
      <c r="O29" s="24">
        <v>3</v>
      </c>
      <c r="P29" s="24">
        <v>4</v>
      </c>
      <c r="Q29" s="24">
        <v>5</v>
      </c>
      <c r="R29" s="24">
        <v>6</v>
      </c>
      <c r="S29" s="24">
        <v>7</v>
      </c>
      <c r="T29" s="24">
        <v>8</v>
      </c>
      <c r="U29" s="24">
        <v>9</v>
      </c>
      <c r="V29" s="24">
        <v>10</v>
      </c>
      <c r="W29" s="24">
        <v>11</v>
      </c>
      <c r="X29" s="24">
        <v>12</v>
      </c>
    </row>
    <row r="30" spans="1:24" x14ac:dyDescent="0.25">
      <c r="B30" s="26">
        <v>-3.5356599999999999E-3</v>
      </c>
      <c r="C30" s="26">
        <v>-0.1304468</v>
      </c>
      <c r="D30" s="26">
        <v>-0.15393409999999999</v>
      </c>
      <c r="E30" s="26">
        <v>0.99734219999999996</v>
      </c>
      <c r="F30" s="26">
        <v>0.99733479999999997</v>
      </c>
      <c r="G30" s="26">
        <v>0.99209610000000004</v>
      </c>
      <c r="H30" s="26">
        <v>7.6135499999999996E-5</v>
      </c>
      <c r="I30" s="26">
        <v>-4.161199E-3</v>
      </c>
      <c r="J30" s="26">
        <v>2.9830759999999998E-4</v>
      </c>
      <c r="K30" s="25"/>
      <c r="L30" s="25"/>
      <c r="M30" s="26">
        <v>2.2086389999999998</v>
      </c>
      <c r="N30" s="26">
        <v>1.054514</v>
      </c>
      <c r="O30" s="26">
        <v>0.363871</v>
      </c>
      <c r="P30" s="26">
        <v>1.063763</v>
      </c>
      <c r="Q30" s="26">
        <v>1.097235</v>
      </c>
      <c r="R30" s="26">
        <v>1.0004360000000001</v>
      </c>
      <c r="S30" s="26">
        <v>4.3201349999999999E-2</v>
      </c>
      <c r="T30" s="26">
        <v>-1.4331379999999999E-2</v>
      </c>
      <c r="U30" s="26">
        <v>4.8426950000000003E-2</v>
      </c>
      <c r="V30" s="26">
        <v>8.069283E-3</v>
      </c>
      <c r="W30" s="26">
        <v>-6.031073E-2</v>
      </c>
      <c r="X30" s="26">
        <v>5.4008319999999999E-2</v>
      </c>
    </row>
    <row r="31" spans="1:24" x14ac:dyDescent="0.25">
      <c r="B31" s="26">
        <v>-3.1358390000000001E-3</v>
      </c>
      <c r="C31" s="26">
        <v>-0.1439087</v>
      </c>
      <c r="D31" s="26">
        <v>-0.16684869999999999</v>
      </c>
      <c r="E31" s="26">
        <v>0.99783279999999996</v>
      </c>
      <c r="F31" s="26">
        <v>0.99763500000000005</v>
      </c>
      <c r="G31" s="26">
        <v>0.99224650000000003</v>
      </c>
      <c r="H31" s="26">
        <v>-3.9317270000000002E-5</v>
      </c>
      <c r="I31" s="26">
        <v>-2.151947E-3</v>
      </c>
      <c r="J31" s="26">
        <v>4.8707539999999998E-4</v>
      </c>
      <c r="K31" s="25"/>
      <c r="L31" s="25"/>
      <c r="M31" s="26">
        <v>2.2086389999999998</v>
      </c>
      <c r="N31" s="26">
        <v>1.054514</v>
      </c>
      <c r="O31" s="26">
        <v>0.363871</v>
      </c>
      <c r="P31" s="26">
        <v>1.073996</v>
      </c>
      <c r="Q31" s="26">
        <v>1.097893</v>
      </c>
      <c r="R31" s="26">
        <v>0.99956270000000003</v>
      </c>
      <c r="S31" s="26">
        <v>3.9362840000000003E-2</v>
      </c>
      <c r="T31" s="26">
        <v>-1.452143E-2</v>
      </c>
      <c r="U31" s="26">
        <v>5.2075639999999999E-2</v>
      </c>
      <c r="V31" s="26">
        <v>7.9831499999999996E-3</v>
      </c>
      <c r="W31" s="26">
        <v>-6.9948830000000004E-2</v>
      </c>
      <c r="X31" s="26">
        <v>5.7258709999999997E-2</v>
      </c>
    </row>
    <row r="32" spans="1:24" x14ac:dyDescent="0.25">
      <c r="B32" s="26">
        <v>-6.175275E-3</v>
      </c>
      <c r="C32" s="26">
        <v>-0.14126359999999999</v>
      </c>
      <c r="D32" s="26">
        <v>-0.17892959999999999</v>
      </c>
      <c r="E32" s="26">
        <v>0.99756829999999996</v>
      </c>
      <c r="F32" s="26">
        <v>0.99767799999999995</v>
      </c>
      <c r="G32" s="26">
        <v>0.99215560000000003</v>
      </c>
      <c r="H32" s="26">
        <v>3.6183070000000002E-4</v>
      </c>
      <c r="I32" s="26">
        <v>-2.4695810000000002E-3</v>
      </c>
      <c r="J32" s="26">
        <v>-2.9843609999999999E-4</v>
      </c>
      <c r="K32" s="24"/>
      <c r="L32" s="25"/>
      <c r="M32" s="26">
        <v>2.2086389999999998</v>
      </c>
      <c r="N32" s="26">
        <v>1.054514</v>
      </c>
      <c r="O32" s="26">
        <v>0.363871</v>
      </c>
      <c r="P32" s="26">
        <v>1.0807070000000001</v>
      </c>
      <c r="Q32" s="26">
        <v>1.099045</v>
      </c>
      <c r="R32" s="26">
        <v>0.99961690000000003</v>
      </c>
      <c r="S32" s="26">
        <v>3.7785680000000002E-2</v>
      </c>
      <c r="T32" s="26">
        <v>-1.4575680000000001E-2</v>
      </c>
      <c r="U32" s="26">
        <v>5.469069E-2</v>
      </c>
      <c r="V32" s="26">
        <v>7.9311450000000006E-3</v>
      </c>
      <c r="W32" s="26">
        <v>-7.5521749999999999E-2</v>
      </c>
      <c r="X32" s="26">
        <v>6.1769650000000002E-2</v>
      </c>
    </row>
    <row r="33" spans="1:24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4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25">
      <c r="B34" s="25">
        <f t="shared" ref="B34:J34" si="10">AVERAGE(B30:B32)</f>
        <v>-4.2822579999999997E-3</v>
      </c>
      <c r="C34" s="25">
        <f t="shared" si="10"/>
        <v>-0.13853969999999999</v>
      </c>
      <c r="D34" s="25">
        <f t="shared" si="10"/>
        <v>-0.16657079999999999</v>
      </c>
      <c r="E34" s="25">
        <f t="shared" si="10"/>
        <v>0.9975811</v>
      </c>
      <c r="F34" s="25">
        <f t="shared" si="10"/>
        <v>0.99754926666666666</v>
      </c>
      <c r="G34" s="25">
        <f t="shared" si="10"/>
        <v>0.99216606666666662</v>
      </c>
      <c r="H34" s="25">
        <f t="shared" si="10"/>
        <v>1.3288297666666667E-4</v>
      </c>
      <c r="I34" s="25">
        <f t="shared" si="10"/>
        <v>-2.9275756666666667E-3</v>
      </c>
      <c r="J34" s="25">
        <f t="shared" si="10"/>
        <v>1.6231563333333332E-4</v>
      </c>
      <c r="K34" s="24"/>
      <c r="L34" s="25"/>
      <c r="M34" s="25">
        <f t="shared" ref="M34:X34" si="11">AVERAGE(M30:M32)</f>
        <v>2.2086389999999998</v>
      </c>
      <c r="N34" s="25">
        <f t="shared" si="11"/>
        <v>1.054514</v>
      </c>
      <c r="O34" s="25">
        <f t="shared" si="11"/>
        <v>0.363871</v>
      </c>
      <c r="P34" s="25">
        <f t="shared" si="11"/>
        <v>1.0728220000000002</v>
      </c>
      <c r="Q34" s="25">
        <f t="shared" si="11"/>
        <v>1.0980576666666666</v>
      </c>
      <c r="R34" s="25">
        <f t="shared" si="11"/>
        <v>0.99987186666666672</v>
      </c>
      <c r="S34" s="25">
        <f t="shared" si="11"/>
        <v>4.0116623333333337E-2</v>
      </c>
      <c r="T34" s="25">
        <f t="shared" si="11"/>
        <v>-1.4476163333333333E-2</v>
      </c>
      <c r="U34" s="25">
        <f t="shared" si="11"/>
        <v>5.1731093333333332E-2</v>
      </c>
      <c r="V34" s="25">
        <f t="shared" si="11"/>
        <v>7.9945260000000001E-3</v>
      </c>
      <c r="W34" s="25">
        <f t="shared" si="11"/>
        <v>-6.8593769999999998E-2</v>
      </c>
      <c r="X34" s="25">
        <f t="shared" si="11"/>
        <v>5.7678893333333335E-2</v>
      </c>
    </row>
    <row r="35" spans="1:24" x14ac:dyDescent="0.25">
      <c r="B35" s="24">
        <f t="shared" ref="B35:J35" si="12">(B$34-B30)*100/B$34</f>
        <v>17.434680488658085</v>
      </c>
      <c r="C35" s="24">
        <f t="shared" si="12"/>
        <v>5.841574653330408</v>
      </c>
      <c r="D35" s="24">
        <f t="shared" si="12"/>
        <v>7.5863836878972792</v>
      </c>
      <c r="E35" s="24">
        <f t="shared" si="12"/>
        <v>2.394792764217785E-2</v>
      </c>
      <c r="F35" s="24">
        <f t="shared" si="12"/>
        <v>2.1499355854707383E-2</v>
      </c>
      <c r="G35" s="24">
        <f t="shared" si="12"/>
        <v>7.05191086625764E-3</v>
      </c>
      <c r="H35" s="24">
        <f t="shared" si="12"/>
        <v>42.704850606271542</v>
      </c>
      <c r="I35" s="24">
        <f t="shared" si="12"/>
        <v>-42.138051199815273</v>
      </c>
      <c r="J35" s="24">
        <f t="shared" si="12"/>
        <v>-83.782420629436189</v>
      </c>
      <c r="L35" s="24"/>
      <c r="M35" s="24">
        <f t="shared" ref="M35:X35" si="13">(M$34-M30)*100/M$34</f>
        <v>0</v>
      </c>
      <c r="N35" s="24">
        <f t="shared" si="13"/>
        <v>0</v>
      </c>
      <c r="O35" s="24">
        <f t="shared" si="13"/>
        <v>0</v>
      </c>
      <c r="P35" s="24">
        <f t="shared" si="13"/>
        <v>0.84440848528461843</v>
      </c>
      <c r="Q35" s="24">
        <f t="shared" si="13"/>
        <v>7.492016964500392E-2</v>
      </c>
      <c r="R35" s="24">
        <f t="shared" si="13"/>
        <v>-5.6420562688104074E-2</v>
      </c>
      <c r="S35" s="24">
        <f t="shared" si="13"/>
        <v>-7.6893975872179885</v>
      </c>
      <c r="T35" s="24">
        <f t="shared" si="13"/>
        <v>1.0001499015968589</v>
      </c>
      <c r="U35" s="24">
        <f t="shared" si="13"/>
        <v>6.3871515570777202</v>
      </c>
      <c r="V35" s="24">
        <f t="shared" si="13"/>
        <v>-0.93510234377872992</v>
      </c>
      <c r="W35" s="24">
        <f t="shared" si="13"/>
        <v>12.075498984820339</v>
      </c>
      <c r="X35" s="24">
        <f t="shared" si="13"/>
        <v>6.3638067951835469</v>
      </c>
    </row>
    <row r="36" spans="1:24" x14ac:dyDescent="0.25">
      <c r="B36" s="24">
        <f t="shared" ref="B36:J36" si="14">(B$34-B31)*100/B$34</f>
        <v>26.771366881677835</v>
      </c>
      <c r="C36" s="24">
        <f t="shared" si="14"/>
        <v>-3.8754234345822991</v>
      </c>
      <c r="D36" s="24">
        <f t="shared" si="14"/>
        <v>-0.16683596404651813</v>
      </c>
      <c r="E36" s="24">
        <f t="shared" si="14"/>
        <v>-2.5231031341709044E-2</v>
      </c>
      <c r="F36" s="24">
        <f t="shared" si="14"/>
        <v>-8.5943959058656857E-3</v>
      </c>
      <c r="G36" s="24">
        <f t="shared" si="14"/>
        <v>-8.1068417914790577E-3</v>
      </c>
      <c r="H36" s="24">
        <f t="shared" si="14"/>
        <v>129.58789077898692</v>
      </c>
      <c r="I36" s="24">
        <f t="shared" si="14"/>
        <v>26.493889654090356</v>
      </c>
      <c r="J36" s="24">
        <f t="shared" si="14"/>
        <v>-200.07916674282143</v>
      </c>
      <c r="K36" s="25"/>
      <c r="L36" s="24"/>
      <c r="M36" s="24">
        <f t="shared" ref="M36:X36" si="15">(M$34-M31)*100/M$34</f>
        <v>0</v>
      </c>
      <c r="N36" s="24">
        <f t="shared" si="15"/>
        <v>0</v>
      </c>
      <c r="O36" s="24">
        <f t="shared" si="15"/>
        <v>0</v>
      </c>
      <c r="P36" s="24">
        <f t="shared" si="15"/>
        <v>-0.10943101465105919</v>
      </c>
      <c r="Q36" s="24">
        <f t="shared" si="15"/>
        <v>1.499617658209731E-2</v>
      </c>
      <c r="R36" s="24">
        <f t="shared" si="15"/>
        <v>3.0920628629884477E-2</v>
      </c>
      <c r="S36" s="24">
        <f t="shared" si="15"/>
        <v>1.8789800105309644</v>
      </c>
      <c r="T36" s="24">
        <f t="shared" si="15"/>
        <v>-0.31269795472971812</v>
      </c>
      <c r="U36" s="24">
        <f t="shared" si="15"/>
        <v>-0.66603399322445045</v>
      </c>
      <c r="V36" s="24">
        <f t="shared" si="15"/>
        <v>0.14229736697335704</v>
      </c>
      <c r="W36" s="24">
        <f t="shared" si="15"/>
        <v>-1.9754855287878261</v>
      </c>
      <c r="X36" s="24">
        <f t="shared" si="15"/>
        <v>0.72848716237506006</v>
      </c>
    </row>
    <row r="37" spans="1:24" x14ac:dyDescent="0.25">
      <c r="B37" s="24">
        <f t="shared" ref="B37:J37" si="16">(B$34-B32)*100/B$34</f>
        <v>-44.206047370335938</v>
      </c>
      <c r="C37" s="24">
        <f t="shared" si="16"/>
        <v>-1.9661512187481289</v>
      </c>
      <c r="D37" s="24">
        <f t="shared" si="16"/>
        <v>-7.4195477238507612</v>
      </c>
      <c r="E37" s="24">
        <f t="shared" si="16"/>
        <v>1.2831036995423234E-3</v>
      </c>
      <c r="F37" s="24">
        <f t="shared" si="16"/>
        <v>-1.2904959948841697E-2</v>
      </c>
      <c r="G37" s="24">
        <f t="shared" si="16"/>
        <v>1.0549309251990378E-3</v>
      </c>
      <c r="H37" s="24">
        <f t="shared" si="16"/>
        <v>-172.29274138525847</v>
      </c>
      <c r="I37" s="24">
        <f t="shared" si="16"/>
        <v>15.644161545724915</v>
      </c>
      <c r="J37" s="24">
        <f t="shared" si="16"/>
        <v>283.86158737225765</v>
      </c>
      <c r="L37" s="24"/>
      <c r="M37" s="24">
        <f t="shared" ref="M37:X37" si="17">(M$34-M32)*100/M$34</f>
        <v>0</v>
      </c>
      <c r="N37" s="24">
        <f t="shared" si="17"/>
        <v>0</v>
      </c>
      <c r="O37" s="24">
        <f t="shared" si="17"/>
        <v>0</v>
      </c>
      <c r="P37" s="24">
        <f t="shared" si="17"/>
        <v>-0.73497747063351782</v>
      </c>
      <c r="Q37" s="24">
        <f t="shared" si="17"/>
        <v>-8.9916346227121455E-2</v>
      </c>
      <c r="R37" s="24">
        <f t="shared" si="17"/>
        <v>2.5499934058219601E-2</v>
      </c>
      <c r="S37" s="24">
        <f t="shared" si="17"/>
        <v>5.8104175766870414</v>
      </c>
      <c r="T37" s="24">
        <f t="shared" si="17"/>
        <v>-0.68745194686714084</v>
      </c>
      <c r="U37" s="24">
        <f t="shared" si="17"/>
        <v>-5.7211175638532836</v>
      </c>
      <c r="V37" s="24">
        <f t="shared" si="17"/>
        <v>0.79280497680537287</v>
      </c>
      <c r="W37" s="24">
        <f t="shared" si="17"/>
        <v>-10.100013456032524</v>
      </c>
      <c r="X37" s="24">
        <f t="shared" si="17"/>
        <v>-7.0922939575585948</v>
      </c>
    </row>
    <row r="39" spans="1:24" x14ac:dyDescent="0.25">
      <c r="A39" t="s">
        <v>13</v>
      </c>
      <c r="B39" s="25" cm="1">
        <f t="array" ref="B39">AVERAGE(ABS(B35:B37))</f>
        <v>29.47069824689062</v>
      </c>
      <c r="C39" s="25" cm="1">
        <f t="array" ref="C39">AVERAGE(ABS(C35:C37))</f>
        <v>3.8943831022202784</v>
      </c>
      <c r="D39" s="25" cm="1">
        <f t="array" ref="D39">AVERAGE(ABS(D35:D37))</f>
        <v>5.0575891252648528</v>
      </c>
      <c r="E39" s="25" cm="1">
        <f t="array" ref="E39">AVERAGE(ABS(E35:E37))</f>
        <v>1.6820687561143074E-2</v>
      </c>
      <c r="F39" s="25" cm="1">
        <f t="array" ref="F39">AVERAGE(ABS(F35:F37))</f>
        <v>1.4332903903138254E-2</v>
      </c>
      <c r="G39" s="25" cm="1">
        <f t="array" ref="G39">AVERAGE(ABS(G35:G37))</f>
        <v>5.4045611943119116E-3</v>
      </c>
      <c r="H39" s="25" cm="1">
        <f t="array" ref="H39">AVERAGE(ABS(H35:H37))</f>
        <v>114.86182759017231</v>
      </c>
      <c r="I39" s="25" cm="1">
        <f t="array" ref="I39">AVERAGE(ABS(I35:I37))</f>
        <v>28.092034133210181</v>
      </c>
      <c r="J39" s="25" cm="1">
        <f t="array" ref="J39">AVERAGE(ABS(J35:J37))</f>
        <v>189.24105824817175</v>
      </c>
      <c r="L39" t="s">
        <v>13</v>
      </c>
      <c r="M39" s="25" cm="1">
        <f t="array" ref="M39">AVERAGE(ABS(M35:M37))</f>
        <v>0</v>
      </c>
      <c r="N39" s="25" cm="1">
        <f t="array" ref="N39">AVERAGE(ABS(N35:N37))</f>
        <v>0</v>
      </c>
      <c r="O39" s="25" cm="1">
        <f t="array" ref="O39">AVERAGE(ABS(O35:O37))</f>
        <v>0</v>
      </c>
      <c r="P39" s="25" cm="1">
        <f t="array" ref="P39">AVERAGE(ABS(P35:P37))</f>
        <v>0.56293899018973181</v>
      </c>
      <c r="Q39" s="25" cm="1">
        <f t="array" ref="Q39">AVERAGE(ABS(Q35:Q37))</f>
        <v>5.9944230818074228E-2</v>
      </c>
      <c r="R39" s="25" cm="1">
        <f t="array" ref="R39">AVERAGE(ABS(R35:R37))</f>
        <v>3.7613708458736052E-2</v>
      </c>
      <c r="S39" s="25" cm="1">
        <f t="array" ref="S39">AVERAGE(ABS(S35:S37))</f>
        <v>5.1262650581453313</v>
      </c>
      <c r="T39" s="25" cm="1">
        <f t="array" ref="T39">AVERAGE(ABS(T35:T37))</f>
        <v>0.66676660106457264</v>
      </c>
      <c r="U39" s="25" cm="1">
        <f t="array" ref="U39">AVERAGE(ABS(U35:U37))</f>
        <v>4.2581010380518185</v>
      </c>
      <c r="V39" s="25" cm="1">
        <f t="array" ref="V39">AVERAGE(ABS(V35:V37))</f>
        <v>0.62340156251915324</v>
      </c>
      <c r="W39" s="25" cm="1">
        <f t="array" ref="W39">AVERAGE(ABS(W35:W37))</f>
        <v>8.0503326565468978</v>
      </c>
      <c r="X39" s="25" cm="1">
        <f t="array" ref="X39">AVERAGE(ABS(X35:X37))</f>
        <v>4.728195971705734</v>
      </c>
    </row>
    <row r="41" spans="1:24" ht="15.75" thickBot="1" x14ac:dyDescent="0.3"/>
    <row r="42" spans="1:24" ht="17.25" thickTop="1" thickBot="1" x14ac:dyDescent="0.3">
      <c r="B42" s="1">
        <v>9.82</v>
      </c>
      <c r="C42" s="25">
        <f>B$26</f>
        <v>67.88842133761905</v>
      </c>
      <c r="D42" s="25">
        <f>B$39</f>
        <v>29.47069824689062</v>
      </c>
    </row>
    <row r="43" spans="1:24" ht="16.5" thickBot="1" x14ac:dyDescent="0.3">
      <c r="B43" s="4">
        <v>6.07</v>
      </c>
      <c r="C43" s="25">
        <f>C$26</f>
        <v>2.0877285858070915</v>
      </c>
      <c r="D43" s="25">
        <f>C$39</f>
        <v>3.8943831022202784</v>
      </c>
    </row>
    <row r="44" spans="1:24" ht="16.5" thickBot="1" x14ac:dyDescent="0.3">
      <c r="B44" s="4">
        <v>3.89</v>
      </c>
      <c r="C44" s="25">
        <f>D$26</f>
        <v>11.264794244840715</v>
      </c>
      <c r="D44" s="25">
        <f>D$39</f>
        <v>5.0575891252648528</v>
      </c>
    </row>
    <row r="45" spans="1:24" ht="16.5" thickBot="1" x14ac:dyDescent="0.3">
      <c r="B45" s="4">
        <v>0.08</v>
      </c>
      <c r="C45" s="25">
        <f>E26</f>
        <v>5.5352116511018401E-2</v>
      </c>
      <c r="D45" s="25">
        <f>E39</f>
        <v>1.6820687561143074E-2</v>
      </c>
    </row>
    <row r="46" spans="1:24" ht="16.5" thickBot="1" x14ac:dyDescent="0.3">
      <c r="B46" s="4">
        <v>0.03</v>
      </c>
      <c r="C46" s="25">
        <f>F26</f>
        <v>1.4670789499283016E-2</v>
      </c>
      <c r="D46" s="25">
        <f>F39</f>
        <v>1.4332903903138254E-2</v>
      </c>
      <c r="G46" s="25"/>
      <c r="H46" s="25"/>
      <c r="I46" s="25"/>
      <c r="J46" s="25"/>
    </row>
    <row r="47" spans="1:24" ht="16.5" thickBot="1" x14ac:dyDescent="0.3">
      <c r="B47" s="4">
        <v>0.12</v>
      </c>
      <c r="C47" s="25">
        <f>G26</f>
        <v>9.2226688410749644E-2</v>
      </c>
      <c r="D47" s="25">
        <f>G39</f>
        <v>5.4045611943119116E-3</v>
      </c>
    </row>
    <row r="48" spans="1:24" ht="16.5" thickBot="1" x14ac:dyDescent="0.3">
      <c r="B48" s="4">
        <v>0.09</v>
      </c>
      <c r="C48" s="25">
        <f>P26</f>
        <v>0.1172574167973998</v>
      </c>
      <c r="D48" s="25">
        <f>P39</f>
        <v>0.56293899018973181</v>
      </c>
      <c r="K48" s="25"/>
      <c r="L48" s="25"/>
      <c r="M48" s="25"/>
      <c r="N48" s="25"/>
    </row>
    <row r="49" spans="1:4" ht="16.5" thickBot="1" x14ac:dyDescent="0.3">
      <c r="B49" s="4">
        <v>0.03</v>
      </c>
      <c r="C49" s="25">
        <f>Q26</f>
        <v>1.1512688412762631</v>
      </c>
      <c r="D49" s="25">
        <f>Q39</f>
        <v>5.9944230818074228E-2</v>
      </c>
    </row>
    <row r="50" spans="1:4" ht="16.5" thickBot="1" x14ac:dyDescent="0.3">
      <c r="B50" s="4">
        <v>0.08</v>
      </c>
      <c r="C50" s="25">
        <f>R26</f>
        <v>1.1002934109853675</v>
      </c>
      <c r="D50" s="25">
        <f>R39</f>
        <v>3.7613708458736052E-2</v>
      </c>
    </row>
    <row r="51" spans="1:4" x14ac:dyDescent="0.25">
      <c r="A51" t="s">
        <v>13</v>
      </c>
      <c r="B51" s="25">
        <f>AVERAGE(B42:B50)</f>
        <v>2.2455555555555557</v>
      </c>
      <c r="C51" s="25">
        <f>AVERAGE(C42:C50)</f>
        <v>9.3080014924163255</v>
      </c>
      <c r="D51" s="25">
        <f>AVERAGE(D42:D50)</f>
        <v>4.3466361729445433</v>
      </c>
    </row>
    <row r="53" spans="1:4" x14ac:dyDescent="0.25">
      <c r="C5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2026-03-16T17:38:42Z</dcterms:created>
  <dcterms:modified xsi:type="dcterms:W3CDTF">2026-03-16T19:56:21Z</dcterms:modified>
</cp:coreProperties>
</file>